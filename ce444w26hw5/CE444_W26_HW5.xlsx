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F8FB819E-087D-4C94-9612-65D6719CC434}" xr6:coauthVersionLast="47" xr6:coauthVersionMax="47" xr10:uidLastSave="{00000000-0000-0000-0000-000000000000}"/>
  <bookViews>
    <workbookView xWindow="-98" yWindow="-98" windowWidth="17115" windowHeight="11475" tabRatio="450" xr2:uid="{00000000-000D-0000-FFFF-FFFF00000000}"/>
  </bookViews>
  <sheets>
    <sheet name="Pr2" sheetId="1" r:id="rId1"/>
    <sheet name="Pr3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6" i="1" l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25" i="1"/>
  <c r="L25" i="1"/>
  <c r="Z25" i="1"/>
  <c r="AC26" i="1" l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25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25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T26" i="1"/>
  <c r="U26" i="1" s="1"/>
  <c r="T27" i="1"/>
  <c r="U27" i="1" s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25" i="1"/>
  <c r="W25" i="1" s="1"/>
  <c r="N26" i="1"/>
  <c r="O26" i="1" s="1"/>
  <c r="P26" i="1"/>
  <c r="Q26" i="1"/>
  <c r="N27" i="1"/>
  <c r="O27" i="1"/>
  <c r="P27" i="1"/>
  <c r="Q27" i="1" s="1"/>
  <c r="N28" i="1"/>
  <c r="O28" i="1"/>
  <c r="P28" i="1"/>
  <c r="Q28" i="1"/>
  <c r="N29" i="1"/>
  <c r="O29" i="1"/>
  <c r="P29" i="1"/>
  <c r="Q29" i="1"/>
  <c r="N30" i="1"/>
  <c r="O30" i="1"/>
  <c r="P30" i="1"/>
  <c r="Q30" i="1"/>
  <c r="N31" i="1"/>
  <c r="O31" i="1"/>
  <c r="P31" i="1"/>
  <c r="Q31" i="1"/>
  <c r="N32" i="1"/>
  <c r="O32" i="1"/>
  <c r="P32" i="1"/>
  <c r="Q32" i="1"/>
  <c r="N33" i="1"/>
  <c r="O33" i="1"/>
  <c r="P33" i="1"/>
  <c r="Q33" i="1"/>
  <c r="N34" i="1"/>
  <c r="O34" i="1"/>
  <c r="P34" i="1"/>
  <c r="Q34" i="1"/>
  <c r="N35" i="1"/>
  <c r="O35" i="1"/>
  <c r="P35" i="1"/>
  <c r="Q35" i="1"/>
  <c r="N36" i="1"/>
  <c r="O36" i="1"/>
  <c r="P36" i="1"/>
  <c r="Q36" i="1"/>
  <c r="N37" i="1"/>
  <c r="O37" i="1"/>
  <c r="P37" i="1"/>
  <c r="Q37" i="1"/>
  <c r="N38" i="1"/>
  <c r="O38" i="1"/>
  <c r="P38" i="1"/>
  <c r="Q38" i="1"/>
  <c r="N39" i="1"/>
  <c r="O39" i="1"/>
  <c r="P39" i="1"/>
  <c r="Q39" i="1"/>
  <c r="N40" i="1"/>
  <c r="O40" i="1"/>
  <c r="P40" i="1"/>
  <c r="Q40" i="1"/>
  <c r="Q25" i="1"/>
  <c r="P25" i="1"/>
  <c r="O25" i="1"/>
  <c r="N25" i="1"/>
  <c r="L26" i="1"/>
  <c r="L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K26" i="1"/>
  <c r="M26" i="1" s="1"/>
  <c r="K27" i="1"/>
  <c r="M27" i="1" s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25" i="1"/>
  <c r="M25" i="1" s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25" i="1"/>
  <c r="I25" i="2"/>
  <c r="I26" i="2"/>
  <c r="I27" i="2"/>
  <c r="I28" i="2"/>
  <c r="I29" i="2"/>
  <c r="I30" i="2"/>
  <c r="Q44" i="1" l="1"/>
  <c r="X27" i="1"/>
  <c r="W27" i="1"/>
  <c r="X26" i="1"/>
  <c r="W26" i="1"/>
  <c r="U25" i="1"/>
  <c r="X25" i="1" l="1"/>
  <c r="Y25" i="1" s="1"/>
  <c r="AA25" i="1" s="1"/>
  <c r="Y27" i="1"/>
  <c r="AA27" i="1" s="1"/>
  <c r="Y26" i="1"/>
  <c r="AA26" i="1" s="1"/>
</calcChain>
</file>

<file path=xl/sharedStrings.xml><?xml version="1.0" encoding="utf-8"?>
<sst xmlns="http://schemas.openxmlformats.org/spreadsheetml/2006/main" count="107" uniqueCount="42">
  <si>
    <t>Loads</t>
  </si>
  <si>
    <t>(kN)</t>
  </si>
  <si>
    <t>(kNm)</t>
  </si>
  <si>
    <t>φ'</t>
  </si>
  <si>
    <t>(deg)</t>
  </si>
  <si>
    <t>(kN/m3)</t>
  </si>
  <si>
    <t>D</t>
  </si>
  <si>
    <t>(m)</t>
  </si>
  <si>
    <t>B</t>
  </si>
  <si>
    <t>L</t>
  </si>
  <si>
    <t>(kPa)</t>
  </si>
  <si>
    <t>FS</t>
  </si>
  <si>
    <r>
      <rPr>
        <sz val="11"/>
        <color theme="1"/>
        <rFont val="Times New Roman"/>
        <family val="1"/>
      </rPr>
      <t>γ'</t>
    </r>
    <r>
      <rPr>
        <sz val="11"/>
        <color theme="1"/>
        <rFont val="Arial"/>
        <family val="2"/>
      </rPr>
      <t xml:space="preserve"> above base</t>
    </r>
  </si>
  <si>
    <r>
      <rPr>
        <sz val="11"/>
        <color theme="1"/>
        <rFont val="Times New Roman"/>
        <family val="1"/>
      </rPr>
      <t>γ'</t>
    </r>
    <r>
      <rPr>
        <sz val="11"/>
        <color theme="1"/>
        <rFont val="Arial"/>
        <family val="2"/>
      </rPr>
      <t xml:space="preserve"> below base</t>
    </r>
  </si>
  <si>
    <t>Soil properties</t>
  </si>
  <si>
    <t>Footing dimensions</t>
  </si>
  <si>
    <t>Bearing capacity calculations</t>
  </si>
  <si>
    <t>Applied load</t>
  </si>
  <si>
    <t>For iteration</t>
  </si>
  <si>
    <t>Target FS</t>
  </si>
  <si>
    <t>New trial B</t>
  </si>
  <si>
    <r>
      <t>Q</t>
    </r>
    <r>
      <rPr>
        <vertAlign val="subscript"/>
        <sz val="11"/>
        <color theme="1"/>
        <rFont val="Arial"/>
        <family val="2"/>
      </rPr>
      <t>v</t>
    </r>
  </si>
  <si>
    <r>
      <t>Q</t>
    </r>
    <r>
      <rPr>
        <vertAlign val="subscript"/>
        <sz val="11"/>
        <color theme="1"/>
        <rFont val="Arial"/>
        <family val="2"/>
      </rPr>
      <t>h</t>
    </r>
  </si>
  <si>
    <r>
      <t>M</t>
    </r>
    <r>
      <rPr>
        <vertAlign val="subscript"/>
        <sz val="11"/>
        <color theme="1"/>
        <rFont val="Arial"/>
        <family val="2"/>
      </rPr>
      <t>B</t>
    </r>
  </si>
  <si>
    <r>
      <t>M</t>
    </r>
    <r>
      <rPr>
        <vertAlign val="subscript"/>
        <sz val="11"/>
        <color theme="1"/>
        <rFont val="Arial"/>
        <family val="2"/>
      </rPr>
      <t>L</t>
    </r>
  </si>
  <si>
    <r>
      <t>B</t>
    </r>
    <r>
      <rPr>
        <vertAlign val="subscript"/>
        <sz val="11"/>
        <color theme="1"/>
        <rFont val="Arial"/>
        <family val="2"/>
      </rPr>
      <t>eff</t>
    </r>
  </si>
  <si>
    <r>
      <t>L</t>
    </r>
    <r>
      <rPr>
        <vertAlign val="subscript"/>
        <sz val="11"/>
        <color theme="1"/>
        <rFont val="Arial"/>
        <family val="2"/>
      </rPr>
      <t>eff</t>
    </r>
  </si>
  <si>
    <r>
      <t>N</t>
    </r>
    <r>
      <rPr>
        <vertAlign val="subscript"/>
        <sz val="11"/>
        <color theme="1"/>
        <rFont val="Arial"/>
        <family val="2"/>
      </rPr>
      <t>q</t>
    </r>
  </si>
  <si>
    <r>
      <t>N</t>
    </r>
    <r>
      <rPr>
        <vertAlign val="subscript"/>
        <sz val="11"/>
        <color theme="1"/>
        <rFont val="Times New Roman"/>
        <family val="1"/>
      </rPr>
      <t>γ</t>
    </r>
  </si>
  <si>
    <r>
      <t>s</t>
    </r>
    <r>
      <rPr>
        <vertAlign val="subscript"/>
        <sz val="11"/>
        <color theme="1"/>
        <rFont val="Arial"/>
        <family val="2"/>
      </rPr>
      <t>q</t>
    </r>
  </si>
  <si>
    <r>
      <t>s</t>
    </r>
    <r>
      <rPr>
        <vertAlign val="subscript"/>
        <sz val="11"/>
        <color theme="1"/>
        <rFont val="Times New Roman"/>
        <family val="1"/>
      </rPr>
      <t>γ</t>
    </r>
  </si>
  <si>
    <r>
      <t>i</t>
    </r>
    <r>
      <rPr>
        <vertAlign val="subscript"/>
        <sz val="11"/>
        <color theme="1"/>
        <rFont val="Arial"/>
        <family val="2"/>
      </rPr>
      <t>q</t>
    </r>
  </si>
  <si>
    <r>
      <t>i</t>
    </r>
    <r>
      <rPr>
        <vertAlign val="subscript"/>
        <sz val="11"/>
        <color theme="1"/>
        <rFont val="Times New Roman"/>
        <family val="1"/>
      </rPr>
      <t>γ</t>
    </r>
  </si>
  <si>
    <r>
      <t>d</t>
    </r>
    <r>
      <rPr>
        <vertAlign val="subscript"/>
        <sz val="11"/>
        <color theme="1"/>
        <rFont val="Arial"/>
        <family val="2"/>
      </rPr>
      <t>q</t>
    </r>
  </si>
  <si>
    <r>
      <t>d</t>
    </r>
    <r>
      <rPr>
        <vertAlign val="subscript"/>
        <sz val="11"/>
        <color theme="1"/>
        <rFont val="Times New Roman"/>
        <family val="1"/>
      </rPr>
      <t>γ</t>
    </r>
  </si>
  <si>
    <r>
      <t>q</t>
    </r>
    <r>
      <rPr>
        <vertAlign val="subscript"/>
        <sz val="11"/>
        <color theme="1"/>
        <rFont val="Arial"/>
        <family val="2"/>
      </rPr>
      <t>o</t>
    </r>
  </si>
  <si>
    <r>
      <t>q</t>
    </r>
    <r>
      <rPr>
        <vertAlign val="subscript"/>
        <sz val="11"/>
        <color theme="1"/>
        <rFont val="Arial"/>
        <family val="2"/>
      </rPr>
      <t>bL</t>
    </r>
    <r>
      <rPr>
        <vertAlign val="superscript"/>
        <sz val="11"/>
        <color theme="1"/>
        <rFont val="Arial"/>
        <family val="2"/>
      </rPr>
      <t>net</t>
    </r>
  </si>
  <si>
    <r>
      <t>q</t>
    </r>
    <r>
      <rPr>
        <vertAlign val="superscript"/>
        <sz val="11"/>
        <color theme="1"/>
        <rFont val="Arial"/>
        <family val="2"/>
      </rPr>
      <t>net</t>
    </r>
  </si>
  <si>
    <r>
      <t>(q</t>
    </r>
    <r>
      <rPr>
        <vertAlign val="subscript"/>
        <sz val="11"/>
        <color theme="1"/>
        <rFont val="Arial"/>
        <family val="2"/>
      </rPr>
      <t>o</t>
    </r>
    <r>
      <rPr>
        <sz val="11"/>
        <color theme="1"/>
        <rFont val="Arial"/>
        <family val="2"/>
      </rPr>
      <t>*N</t>
    </r>
    <r>
      <rPr>
        <vertAlign val="subscript"/>
        <sz val="11"/>
        <color theme="1"/>
        <rFont val="Arial"/>
        <family val="2"/>
      </rPr>
      <t>q</t>
    </r>
    <r>
      <rPr>
        <sz val="11"/>
        <color theme="1"/>
        <rFont val="Arial"/>
        <family val="2"/>
      </rPr>
      <t>)*s</t>
    </r>
    <r>
      <rPr>
        <vertAlign val="subscript"/>
        <sz val="11"/>
        <color theme="1"/>
        <rFont val="Arial"/>
        <family val="2"/>
      </rPr>
      <t>q</t>
    </r>
    <r>
      <rPr>
        <sz val="11"/>
        <color theme="1"/>
        <rFont val="Arial"/>
        <family val="2"/>
      </rPr>
      <t>*i</t>
    </r>
    <r>
      <rPr>
        <vertAlign val="subscript"/>
        <sz val="11"/>
        <color theme="1"/>
        <rFont val="Arial"/>
        <family val="2"/>
      </rPr>
      <t>q</t>
    </r>
    <r>
      <rPr>
        <sz val="11"/>
        <color theme="1"/>
        <rFont val="Arial"/>
        <family val="2"/>
      </rPr>
      <t>*d</t>
    </r>
    <r>
      <rPr>
        <vertAlign val="subscript"/>
        <sz val="11"/>
        <color theme="1"/>
        <rFont val="Arial"/>
        <family val="2"/>
      </rPr>
      <t>q</t>
    </r>
  </si>
  <si>
    <r>
      <t>(0.5*</t>
    </r>
    <r>
      <rPr>
        <sz val="11"/>
        <color theme="1"/>
        <rFont val="Times New Roman"/>
        <family val="1"/>
      </rPr>
      <t>γ'</t>
    </r>
    <r>
      <rPr>
        <sz val="11"/>
        <color theme="1"/>
        <rFont val="Arial"/>
        <family val="2"/>
      </rPr>
      <t>*B</t>
    </r>
    <r>
      <rPr>
        <vertAlign val="subscript"/>
        <sz val="11"/>
        <color theme="1"/>
        <rFont val="Arial"/>
        <family val="2"/>
      </rPr>
      <t>eff</t>
    </r>
    <r>
      <rPr>
        <sz val="11"/>
        <color theme="1"/>
        <rFont val="Arial"/>
        <family val="2"/>
      </rPr>
      <t>*N</t>
    </r>
    <r>
      <rPr>
        <vertAlign val="subscript"/>
        <sz val="11"/>
        <color theme="1"/>
        <rFont val="Times New Roman"/>
        <family val="1"/>
      </rPr>
      <t>γ</t>
    </r>
    <r>
      <rPr>
        <sz val="11"/>
        <color theme="1"/>
        <rFont val="Times New Roman"/>
        <family val="1"/>
      </rPr>
      <t>)</t>
    </r>
    <r>
      <rPr>
        <sz val="11"/>
        <color theme="1"/>
        <rFont val="Arial"/>
        <family val="2"/>
      </rPr>
      <t>*s</t>
    </r>
    <r>
      <rPr>
        <vertAlign val="subscript"/>
        <sz val="11"/>
        <color theme="1"/>
        <rFont val="Times New Roman"/>
        <family val="1"/>
      </rPr>
      <t>γ</t>
    </r>
    <r>
      <rPr>
        <sz val="11"/>
        <color theme="1"/>
        <rFont val="Arial"/>
        <family val="2"/>
      </rPr>
      <t>*i</t>
    </r>
    <r>
      <rPr>
        <vertAlign val="subscript"/>
        <sz val="11"/>
        <color theme="1"/>
        <rFont val="Times New Roman"/>
        <family val="1"/>
      </rPr>
      <t>γ</t>
    </r>
    <r>
      <rPr>
        <sz val="11"/>
        <color theme="1"/>
        <rFont val="Arial"/>
        <family val="2"/>
      </rPr>
      <t>*d</t>
    </r>
    <r>
      <rPr>
        <vertAlign val="subscript"/>
        <sz val="11"/>
        <color theme="1"/>
        <rFont val="Times New Roman"/>
        <family val="1"/>
      </rPr>
      <t>γ</t>
    </r>
  </si>
  <si>
    <t>Effective dimensions</t>
  </si>
  <si>
    <t>sin_frac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</si>
</sst>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vertAlign val="subscript"/>
      <sz val="11"/>
      <color theme="1"/>
      <name val="Arial"/>
      <family val="2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Arial"/>
      <family val="2"/>
    </font>
    <font>
      <b/>
      <i/>
      <u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2" fontId="1" fillId="0" borderId="9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2" fontId="1" fillId="0" borderId="13" xfId="0" applyNumberFormat="1" applyFont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1" fontId="1" fillId="0" borderId="13" xfId="0" applyNumberFormat="1" applyFont="1" applyBorder="1" applyAlignment="1">
      <alignment horizontal="center"/>
    </xf>
    <xf numFmtId="164" fontId="1" fillId="0" borderId="13" xfId="0" applyNumberFormat="1" applyFont="1" applyBorder="1" applyAlignment="1">
      <alignment horizontal="center"/>
    </xf>
    <xf numFmtId="164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0" fontId="6" fillId="0" borderId="0" xfId="0" applyFont="1"/>
    <xf numFmtId="164" fontId="1" fillId="0" borderId="8" xfId="0" applyNumberFormat="1" applyFont="1" applyBorder="1" applyAlignment="1">
      <alignment horizontal="center"/>
    </xf>
    <xf numFmtId="164" fontId="1" fillId="0" borderId="12" xfId="0" applyNumberFormat="1" applyFont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'Pr2'!$F$25:$F$40</c:f>
              <c:numCache>
                <c:formatCode>General</c:formatCode>
                <c:ptCount val="16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</c:numCache>
            </c:numRef>
          </c:xVal>
          <c:yVal>
            <c:numRef>
              <c:f>'Pr2'!$J$25:$J$40</c:f>
              <c:numCache>
                <c:formatCode>0.00</c:formatCode>
                <c:ptCount val="16"/>
                <c:pt idx="0">
                  <c:v>1.51146827646477</c:v>
                </c:pt>
                <c:pt idx="1">
                  <c:v>1.4631982683542371</c:v>
                </c:pt>
                <c:pt idx="2">
                  <c:v>1.370086430625995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4F-483A-848F-C6AA39FEF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349352"/>
        <c:axId val="470347712"/>
      </c:scatterChart>
      <c:valAx>
        <c:axId val="470349352"/>
        <c:scaling>
          <c:orientation val="minMax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Effective friction angle (deg)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70347712"/>
        <c:crosses val="autoZero"/>
        <c:crossBetween val="midCat"/>
      </c:valAx>
      <c:valAx>
        <c:axId val="47034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Footing width B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70349352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'Pr3'!$I$25:$I$40</c:f>
              <c:numCache>
                <c:formatCode>0.00</c:formatCode>
                <c:ptCount val="16"/>
                <c:pt idx="0">
                  <c:v>0.30480000000000002</c:v>
                </c:pt>
                <c:pt idx="1">
                  <c:v>0.60960000000000003</c:v>
                </c:pt>
                <c:pt idx="2">
                  <c:v>0.9144000000000001</c:v>
                </c:pt>
                <c:pt idx="3">
                  <c:v>1.2192000000000001</c:v>
                </c:pt>
                <c:pt idx="4">
                  <c:v>1.524</c:v>
                </c:pt>
                <c:pt idx="5">
                  <c:v>1.8288000000000002</c:v>
                </c:pt>
              </c:numCache>
            </c:numRef>
          </c:xVal>
          <c:yVal>
            <c:numRef>
              <c:f>'Pr3'!$J$25:$J$40</c:f>
              <c:numCache>
                <c:formatCode>0.00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A9-4442-B5E2-7402FA26C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349352"/>
        <c:axId val="470347712"/>
      </c:scatterChart>
      <c:valAx>
        <c:axId val="470349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Footing embedment depth D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70347712"/>
        <c:crosses val="autoZero"/>
        <c:crossBetween val="midCat"/>
      </c:valAx>
      <c:valAx>
        <c:axId val="47034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Footing width B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70349352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359833</xdr:colOff>
      <xdr:row>1</xdr:row>
      <xdr:rowOff>1</xdr:rowOff>
    </xdr:from>
    <xdr:to>
      <xdr:col>20</xdr:col>
      <xdr:colOff>338666</xdr:colOff>
      <xdr:row>18</xdr:row>
      <xdr:rowOff>158751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359833</xdr:colOff>
      <xdr:row>2</xdr:row>
      <xdr:rowOff>123265</xdr:rowOff>
    </xdr:from>
    <xdr:to>
      <xdr:col>20</xdr:col>
      <xdr:colOff>338666</xdr:colOff>
      <xdr:row>18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E47"/>
  <sheetViews>
    <sheetView tabSelected="1" topLeftCell="H16" zoomScale="90" zoomScaleNormal="85" workbookViewId="0">
      <selection activeCell="Q38" sqref="Q38"/>
    </sheetView>
  </sheetViews>
  <sheetFormatPr defaultColWidth="9.1328125" defaultRowHeight="13.5" x14ac:dyDescent="0.35"/>
  <cols>
    <col min="1" max="1" width="2.3984375" style="1" customWidth="1"/>
    <col min="2" max="6" width="9.1328125" style="1"/>
    <col min="7" max="7" width="13.86328125" style="1" bestFit="1" customWidth="1"/>
    <col min="8" max="8" width="13.73046875" style="1" bestFit="1" customWidth="1"/>
    <col min="9" max="11" width="9.1328125" style="1"/>
    <col min="12" max="12" width="10.1328125" style="1" customWidth="1"/>
    <col min="13" max="13" width="9.73046875" style="1" customWidth="1"/>
    <col min="14" max="22" width="9.1328125" style="1"/>
    <col min="23" max="23" width="15.265625" style="1" bestFit="1" customWidth="1"/>
    <col min="24" max="24" width="22.73046875" style="1" bestFit="1" customWidth="1"/>
    <col min="25" max="27" width="9.1328125" style="1"/>
    <col min="28" max="28" width="12" style="1" bestFit="1" customWidth="1"/>
    <col min="29" max="29" width="11" style="1" bestFit="1" customWidth="1"/>
    <col min="30" max="30" width="2.1328125" style="1" customWidth="1"/>
    <col min="31" max="16384" width="9.1328125" style="1"/>
  </cols>
  <sheetData>
    <row r="3" spans="2:2" ht="13.9" x14ac:dyDescent="0.4">
      <c r="B3" s="28"/>
    </row>
    <row r="9" spans="2:2" x14ac:dyDescent="0.35">
      <c r="B9" s="6"/>
    </row>
    <row r="10" spans="2:2" x14ac:dyDescent="0.35">
      <c r="B10" s="6"/>
    </row>
    <row r="11" spans="2:2" x14ac:dyDescent="0.35">
      <c r="B11" s="6"/>
    </row>
    <row r="12" spans="2:2" x14ac:dyDescent="0.35">
      <c r="B12" s="6"/>
    </row>
    <row r="13" spans="2:2" x14ac:dyDescent="0.35">
      <c r="B13" s="6"/>
    </row>
    <row r="14" spans="2:2" x14ac:dyDescent="0.35">
      <c r="B14" s="6"/>
    </row>
    <row r="15" spans="2:2" x14ac:dyDescent="0.35">
      <c r="B15" s="6"/>
    </row>
    <row r="16" spans="2:2" x14ac:dyDescent="0.35">
      <c r="B16" s="6"/>
    </row>
    <row r="17" spans="2:31" x14ac:dyDescent="0.35">
      <c r="B17" s="6"/>
    </row>
    <row r="18" spans="2:31" x14ac:dyDescent="0.35">
      <c r="B18" s="6"/>
    </row>
    <row r="19" spans="2:31" x14ac:dyDescent="0.35">
      <c r="B19" s="6"/>
    </row>
    <row r="21" spans="2:31" ht="13.9" thickBot="1" x14ac:dyDescent="0.4"/>
    <row r="22" spans="2:31" x14ac:dyDescent="0.35">
      <c r="B22" s="12" t="s">
        <v>0</v>
      </c>
      <c r="C22" s="13"/>
      <c r="D22" s="13"/>
      <c r="E22" s="14"/>
      <c r="F22" s="13" t="s">
        <v>14</v>
      </c>
      <c r="G22" s="13"/>
      <c r="H22" s="14"/>
      <c r="I22" s="13" t="s">
        <v>15</v>
      </c>
      <c r="J22" s="13"/>
      <c r="K22" s="14"/>
      <c r="L22" s="13" t="s">
        <v>40</v>
      </c>
      <c r="M22" s="14"/>
      <c r="N22" s="13" t="s">
        <v>16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4"/>
      <c r="Z22" s="13" t="s">
        <v>17</v>
      </c>
      <c r="AA22" s="14"/>
      <c r="AB22" s="13" t="s">
        <v>18</v>
      </c>
      <c r="AC22" s="15"/>
    </row>
    <row r="23" spans="2:31" s="2" customFormat="1" ht="16.899999999999999" x14ac:dyDescent="0.55000000000000004">
      <c r="B23" s="16" t="s">
        <v>21</v>
      </c>
      <c r="C23" s="2" t="s">
        <v>22</v>
      </c>
      <c r="D23" s="2" t="s">
        <v>23</v>
      </c>
      <c r="E23" s="8" t="s">
        <v>24</v>
      </c>
      <c r="F23" s="2" t="s">
        <v>3</v>
      </c>
      <c r="G23" s="2" t="s">
        <v>12</v>
      </c>
      <c r="H23" s="8" t="s">
        <v>13</v>
      </c>
      <c r="I23" s="2" t="s">
        <v>6</v>
      </c>
      <c r="J23" s="2" t="s">
        <v>8</v>
      </c>
      <c r="K23" s="8" t="s">
        <v>9</v>
      </c>
      <c r="L23" s="2" t="s">
        <v>25</v>
      </c>
      <c r="M23" s="8" t="s">
        <v>26</v>
      </c>
      <c r="N23" s="2" t="s">
        <v>27</v>
      </c>
      <c r="O23" s="2" t="s">
        <v>28</v>
      </c>
      <c r="P23" s="2" t="s">
        <v>29</v>
      </c>
      <c r="Q23" s="2" t="s">
        <v>30</v>
      </c>
      <c r="R23" s="2" t="s">
        <v>31</v>
      </c>
      <c r="S23" s="2" t="s">
        <v>32</v>
      </c>
      <c r="T23" s="2" t="s">
        <v>33</v>
      </c>
      <c r="U23" s="2" t="s">
        <v>34</v>
      </c>
      <c r="V23" s="2" t="s">
        <v>35</v>
      </c>
      <c r="W23" s="2" t="s">
        <v>38</v>
      </c>
      <c r="X23" s="2" t="s">
        <v>39</v>
      </c>
      <c r="Y23" s="8" t="s">
        <v>36</v>
      </c>
      <c r="Z23" s="2" t="s">
        <v>37</v>
      </c>
      <c r="AA23" s="8" t="s">
        <v>11</v>
      </c>
      <c r="AB23" s="2" t="s">
        <v>19</v>
      </c>
      <c r="AC23" s="17" t="s">
        <v>20</v>
      </c>
    </row>
    <row r="24" spans="2:31" s="2" customFormat="1" ht="13.9" thickBot="1" x14ac:dyDescent="0.4">
      <c r="B24" s="18" t="s">
        <v>1</v>
      </c>
      <c r="C24" s="7" t="s">
        <v>1</v>
      </c>
      <c r="D24" s="7" t="s">
        <v>2</v>
      </c>
      <c r="E24" s="9" t="s">
        <v>2</v>
      </c>
      <c r="F24" s="7" t="s">
        <v>4</v>
      </c>
      <c r="G24" s="7" t="s">
        <v>5</v>
      </c>
      <c r="H24" s="9" t="s">
        <v>5</v>
      </c>
      <c r="I24" s="7" t="s">
        <v>7</v>
      </c>
      <c r="J24" s="7" t="s">
        <v>7</v>
      </c>
      <c r="K24" s="9" t="s">
        <v>7</v>
      </c>
      <c r="L24" s="7" t="s">
        <v>7</v>
      </c>
      <c r="M24" s="9" t="s">
        <v>7</v>
      </c>
      <c r="N24" s="7"/>
      <c r="O24" s="7"/>
      <c r="P24" s="7"/>
      <c r="Q24" s="7"/>
      <c r="R24" s="7"/>
      <c r="S24" s="7"/>
      <c r="T24" s="7"/>
      <c r="U24" s="7"/>
      <c r="V24" s="7" t="s">
        <v>10</v>
      </c>
      <c r="W24" s="7" t="s">
        <v>10</v>
      </c>
      <c r="X24" s="7" t="s">
        <v>10</v>
      </c>
      <c r="Y24" s="9" t="s">
        <v>10</v>
      </c>
      <c r="Z24" s="7" t="s">
        <v>10</v>
      </c>
      <c r="AA24" s="9"/>
      <c r="AB24" s="7"/>
      <c r="AC24" s="19" t="s">
        <v>7</v>
      </c>
      <c r="AE24" s="2" t="s">
        <v>41</v>
      </c>
    </row>
    <row r="25" spans="2:31" s="2" customFormat="1" ht="13.9" thickTop="1" x14ac:dyDescent="0.35">
      <c r="B25" s="16">
        <f>1.7*1000</f>
        <v>1700</v>
      </c>
      <c r="C25" s="2">
        <v>0</v>
      </c>
      <c r="D25" s="2">
        <v>0</v>
      </c>
      <c r="E25" s="2">
        <v>0</v>
      </c>
      <c r="F25" s="2">
        <v>30</v>
      </c>
      <c r="G25" s="2">
        <v>18</v>
      </c>
      <c r="H25" s="8">
        <v>18</v>
      </c>
      <c r="I25" s="2">
        <v>1.4</v>
      </c>
      <c r="J25" s="3">
        <v>1.51146827646477</v>
      </c>
      <c r="K25" s="10">
        <f>2*J25</f>
        <v>3.02293655292954</v>
      </c>
      <c r="L25" s="3">
        <f>J25</f>
        <v>1.51146827646477</v>
      </c>
      <c r="M25" s="10">
        <f>K25</f>
        <v>3.02293655292954</v>
      </c>
      <c r="N25" s="32">
        <f>((1+SIN(RADIANS(F25)))/(1-SIN(RADIANS(F25))))*EXP(PI()*TAN(RADIANS(F25)))</f>
        <v>18.401122218708679</v>
      </c>
      <c r="O25" s="32">
        <f>1.5*(N25-1)*TAN(RADIANS(F25))</f>
        <v>15.06981389575955</v>
      </c>
      <c r="P25" s="32">
        <f>1+(0.1/2)*((1+SIN(RADIANS(F25)))/(1-SIN(RADIANS(F25))))</f>
        <v>1.1499999999999999</v>
      </c>
      <c r="Q25" s="32">
        <f>P25</f>
        <v>1.1499999999999999</v>
      </c>
      <c r="R25" s="32">
        <v>1</v>
      </c>
      <c r="S25" s="32">
        <v>1</v>
      </c>
      <c r="T25" s="32">
        <f>1+(0.1*(I25/J25)*SQRT(((1+SIN(RADIANS(F25)))/(1-SIN(RADIANS(F25))))))</f>
        <v>1.1604314935585713</v>
      </c>
      <c r="U25" s="32">
        <f>T25</f>
        <v>1.1604314935585713</v>
      </c>
      <c r="V25" s="31">
        <f>G25*I25</f>
        <v>25.2</v>
      </c>
      <c r="W25" s="32">
        <f>V25*N25*P25*R25*T25</f>
        <v>618.81694560809956</v>
      </c>
      <c r="X25" s="32">
        <f>0.5*G25*L25*O25*Q25*S25*U25</f>
        <v>273.56893647153254</v>
      </c>
      <c r="Y25" s="11">
        <f>X25+W25-V25</f>
        <v>867.18588207963205</v>
      </c>
      <c r="Z25" s="4">
        <f>(B25/(2*J25^2))-V25</f>
        <v>346.86674330984448</v>
      </c>
      <c r="AA25" s="11">
        <f>Y25/Z25</f>
        <v>2.5000548447073343</v>
      </c>
      <c r="AB25" s="4">
        <v>2.5</v>
      </c>
      <c r="AC25" s="20">
        <f>J25</f>
        <v>1.51146827646477</v>
      </c>
      <c r="AE25" s="2">
        <f>SQRT(((1+SIN(RADIANS(F25)))/(1-SIN(RADIANS(F25)))))</f>
        <v>1.7320508075688772</v>
      </c>
    </row>
    <row r="26" spans="2:31" x14ac:dyDescent="0.35">
      <c r="B26" s="16">
        <f t="shared" ref="B26:B40" si="0">1.7*1000</f>
        <v>1700</v>
      </c>
      <c r="C26" s="2">
        <v>0</v>
      </c>
      <c r="D26" s="2">
        <v>0</v>
      </c>
      <c r="E26" s="2">
        <v>0</v>
      </c>
      <c r="F26" s="2">
        <v>31</v>
      </c>
      <c r="G26" s="2">
        <v>18</v>
      </c>
      <c r="H26" s="8">
        <v>18</v>
      </c>
      <c r="I26" s="2">
        <v>1.4</v>
      </c>
      <c r="J26" s="33">
        <v>1.4631982683542371</v>
      </c>
      <c r="K26" s="10">
        <f t="shared" ref="K26:K40" si="1">2*J26</f>
        <v>2.9263965367084741</v>
      </c>
      <c r="L26" s="3">
        <f t="shared" ref="L26:L40" si="2">J26</f>
        <v>1.4631982683542371</v>
      </c>
      <c r="M26" s="10">
        <f t="shared" ref="M26:M40" si="3">K26</f>
        <v>2.9263965367084741</v>
      </c>
      <c r="N26" s="3">
        <f t="shared" ref="N26:N40" si="4">((1+SIN(RADIANS(F26)))/(1-SIN(RADIANS(F26))))*EXP(PI()*TAN(RADIANS(F26)))</f>
        <v>20.630793159942641</v>
      </c>
      <c r="O26" s="3">
        <f t="shared" ref="O26:O40" si="5">1.5*(N26-1)*TAN(RADIANS(F26))</f>
        <v>17.693055795127702</v>
      </c>
      <c r="P26" s="3">
        <f t="shared" ref="P26:P40" si="6">1+(0.1/2)*((1+SIN(RADIANS(F26)))/(1-SIN(RADIANS(F26))))</f>
        <v>1.1562017548727213</v>
      </c>
      <c r="Q26" s="3">
        <f t="shared" ref="Q26:Q40" si="7">P26</f>
        <v>1.1562017548727213</v>
      </c>
      <c r="R26" s="3">
        <v>1</v>
      </c>
      <c r="S26" s="3">
        <v>1</v>
      </c>
      <c r="T26" s="3">
        <f t="shared" ref="T26:T40" si="8">1+(0.1*(I26/J26)*SQRT(((1+SIN(RADIANS(F26)))/(1-SIN(RADIANS(F26))))))</f>
        <v>1.1691152645719902</v>
      </c>
      <c r="U26" s="3">
        <f t="shared" ref="U26:U40" si="9">T26</f>
        <v>1.1691152645719902</v>
      </c>
      <c r="V26" s="3">
        <f t="shared" ref="V26:V40" si="10">G26*I26</f>
        <v>25.2</v>
      </c>
      <c r="W26" s="4">
        <f t="shared" ref="W26:W40" si="11">V26*N26*P26*R26*T26</f>
        <v>702.76062571951684</v>
      </c>
      <c r="X26" s="4">
        <f t="shared" ref="X26:X40" si="12">0.5*G26*L26*O26*Q26*S26*U26</f>
        <v>314.94846072582772</v>
      </c>
      <c r="Y26" s="11">
        <f t="shared" ref="Y26:Y40" si="13">X26+W26-V26</f>
        <v>992.50908644534456</v>
      </c>
      <c r="Z26" s="4">
        <f t="shared" ref="Z26:Z40" si="14">B26/(2*J26^2)</f>
        <v>397.02016792932949</v>
      </c>
      <c r="AA26" s="11">
        <f t="shared" ref="AA26:AA40" si="15">Y26/Z26</f>
        <v>2.4998958909866098</v>
      </c>
      <c r="AB26" s="4">
        <v>2.5</v>
      </c>
      <c r="AC26" s="20">
        <f t="shared" ref="AC26:AC40" si="16">J26</f>
        <v>1.4631982683542371</v>
      </c>
      <c r="AE26" s="2">
        <f t="shared" ref="AE26:AE40" si="17">SQRT(((1+SIN(RADIANS(F26)))/(1-SIN(RADIANS(F26)))))</f>
        <v>1.7674940162428909</v>
      </c>
    </row>
    <row r="27" spans="2:31" x14ac:dyDescent="0.35">
      <c r="B27" s="16">
        <f t="shared" si="0"/>
        <v>1700</v>
      </c>
      <c r="C27" s="2">
        <v>0</v>
      </c>
      <c r="D27" s="2">
        <v>0</v>
      </c>
      <c r="E27" s="2">
        <v>0</v>
      </c>
      <c r="F27" s="2">
        <v>32</v>
      </c>
      <c r="G27" s="2">
        <v>18</v>
      </c>
      <c r="H27" s="8">
        <v>18</v>
      </c>
      <c r="I27" s="2">
        <v>1.4</v>
      </c>
      <c r="J27" s="33">
        <v>1.370086430625995</v>
      </c>
      <c r="K27" s="10">
        <f t="shared" si="1"/>
        <v>2.74017286125199</v>
      </c>
      <c r="L27" s="3">
        <f t="shared" si="2"/>
        <v>1.370086430625995</v>
      </c>
      <c r="M27" s="10">
        <f t="shared" si="3"/>
        <v>2.74017286125199</v>
      </c>
      <c r="N27" s="3">
        <f t="shared" si="4"/>
        <v>23.17677620701264</v>
      </c>
      <c r="O27" s="3">
        <f t="shared" si="5"/>
        <v>20.786381663871275</v>
      </c>
      <c r="P27" s="3">
        <f t="shared" si="6"/>
        <v>1.1627294151649932</v>
      </c>
      <c r="Q27" s="3">
        <f t="shared" si="7"/>
        <v>1.1627294151649932</v>
      </c>
      <c r="R27" s="3">
        <v>1</v>
      </c>
      <c r="S27" s="3">
        <v>1</v>
      </c>
      <c r="T27" s="3">
        <f t="shared" si="8"/>
        <v>1.1843436151853581</v>
      </c>
      <c r="U27" s="3">
        <f t="shared" si="9"/>
        <v>1.1843436151853581</v>
      </c>
      <c r="V27" s="3">
        <f t="shared" si="10"/>
        <v>25.2</v>
      </c>
      <c r="W27" s="4">
        <f t="shared" si="11"/>
        <v>804.28496586921733</v>
      </c>
      <c r="X27" s="4">
        <f t="shared" si="12"/>
        <v>352.96021425509792</v>
      </c>
      <c r="Y27" s="11">
        <f t="shared" si="13"/>
        <v>1132.0451801243153</v>
      </c>
      <c r="Z27" s="4">
        <f t="shared" si="14"/>
        <v>452.81728406761914</v>
      </c>
      <c r="AA27" s="11">
        <f t="shared" si="15"/>
        <v>2.5000043504418596</v>
      </c>
      <c r="AB27" s="4">
        <v>2.5</v>
      </c>
      <c r="AC27" s="20">
        <f t="shared" si="16"/>
        <v>1.370086430625995</v>
      </c>
      <c r="AE27" s="2">
        <f t="shared" si="17"/>
        <v>1.8040477552714238</v>
      </c>
    </row>
    <row r="28" spans="2:31" x14ac:dyDescent="0.35">
      <c r="B28" s="16">
        <f t="shared" si="0"/>
        <v>1700</v>
      </c>
      <c r="C28" s="2">
        <v>0</v>
      </c>
      <c r="D28" s="2">
        <v>0</v>
      </c>
      <c r="E28" s="2">
        <v>0</v>
      </c>
      <c r="F28" s="2">
        <v>33</v>
      </c>
      <c r="G28" s="2">
        <v>18</v>
      </c>
      <c r="H28" s="8">
        <v>18</v>
      </c>
      <c r="I28" s="2">
        <v>1.4</v>
      </c>
      <c r="J28" s="33">
        <v>2</v>
      </c>
      <c r="K28" s="10">
        <f t="shared" si="1"/>
        <v>4</v>
      </c>
      <c r="L28" s="3">
        <f t="shared" si="2"/>
        <v>2</v>
      </c>
      <c r="M28" s="10">
        <f t="shared" si="3"/>
        <v>4</v>
      </c>
      <c r="N28" s="3">
        <f t="shared" si="4"/>
        <v>26.092012099198985</v>
      </c>
      <c r="O28" s="3">
        <f t="shared" si="5"/>
        <v>24.442414778735444</v>
      </c>
      <c r="P28" s="3">
        <f t="shared" si="6"/>
        <v>1.1696059998320234</v>
      </c>
      <c r="Q28" s="3">
        <f t="shared" si="7"/>
        <v>1.1696059998320234</v>
      </c>
      <c r="R28" s="3">
        <v>1</v>
      </c>
      <c r="S28" s="3">
        <v>1</v>
      </c>
      <c r="T28" s="3">
        <f t="shared" si="8"/>
        <v>1.1289239620223421</v>
      </c>
      <c r="U28" s="3">
        <f t="shared" si="9"/>
        <v>1.1289239620223421</v>
      </c>
      <c r="V28" s="3">
        <f t="shared" si="10"/>
        <v>25.2</v>
      </c>
      <c r="W28" s="4">
        <f t="shared" si="11"/>
        <v>868.18522524244418</v>
      </c>
      <c r="X28" s="4">
        <f t="shared" si="12"/>
        <v>580.92610597416024</v>
      </c>
      <c r="Y28" s="11">
        <f t="shared" si="13"/>
        <v>1423.9113312166044</v>
      </c>
      <c r="Z28" s="4">
        <f t="shared" si="14"/>
        <v>212.5</v>
      </c>
      <c r="AA28" s="11">
        <f t="shared" si="15"/>
        <v>6.7007592057251975</v>
      </c>
      <c r="AB28" s="4">
        <v>2.5</v>
      </c>
      <c r="AC28" s="20">
        <f t="shared" si="16"/>
        <v>2</v>
      </c>
      <c r="AE28" s="2">
        <f t="shared" si="17"/>
        <v>1.8417708860334581</v>
      </c>
    </row>
    <row r="29" spans="2:31" x14ac:dyDescent="0.35">
      <c r="B29" s="16">
        <f t="shared" si="0"/>
        <v>1700</v>
      </c>
      <c r="C29" s="2">
        <v>0</v>
      </c>
      <c r="D29" s="2">
        <v>0</v>
      </c>
      <c r="E29" s="2">
        <v>0</v>
      </c>
      <c r="F29" s="2">
        <v>34</v>
      </c>
      <c r="G29" s="2">
        <v>18</v>
      </c>
      <c r="H29" s="8">
        <v>18</v>
      </c>
      <c r="I29" s="2">
        <v>1.4</v>
      </c>
      <c r="J29" s="33">
        <v>2.5</v>
      </c>
      <c r="K29" s="10">
        <f t="shared" si="1"/>
        <v>5</v>
      </c>
      <c r="L29" s="3">
        <f t="shared" si="2"/>
        <v>2.5</v>
      </c>
      <c r="M29" s="10">
        <f t="shared" si="3"/>
        <v>5</v>
      </c>
      <c r="N29" s="3">
        <f t="shared" si="4"/>
        <v>29.439792369643506</v>
      </c>
      <c r="O29" s="3">
        <f t="shared" si="5"/>
        <v>28.774323255832211</v>
      </c>
      <c r="P29" s="3">
        <f t="shared" si="6"/>
        <v>1.1768566018727054</v>
      </c>
      <c r="Q29" s="3">
        <f t="shared" si="7"/>
        <v>1.1768566018727054</v>
      </c>
      <c r="R29" s="3">
        <v>1</v>
      </c>
      <c r="S29" s="3">
        <v>1</v>
      </c>
      <c r="T29" s="3">
        <f t="shared" si="8"/>
        <v>1.1053206820593946</v>
      </c>
      <c r="U29" s="3">
        <f t="shared" si="9"/>
        <v>1.1053206820593946</v>
      </c>
      <c r="V29" s="3">
        <f t="shared" si="10"/>
        <v>25.2</v>
      </c>
      <c r="W29" s="4">
        <f t="shared" si="11"/>
        <v>965.04402864766485</v>
      </c>
      <c r="X29" s="4">
        <f t="shared" si="12"/>
        <v>842.16944510486462</v>
      </c>
      <c r="Y29" s="11">
        <f t="shared" si="13"/>
        <v>1782.0134737525293</v>
      </c>
      <c r="Z29" s="4">
        <f t="shared" si="14"/>
        <v>136</v>
      </c>
      <c r="AA29" s="11">
        <f t="shared" si="15"/>
        <v>13.103040248180363</v>
      </c>
      <c r="AB29" s="4">
        <v>2.5</v>
      </c>
      <c r="AC29" s="20">
        <f t="shared" si="16"/>
        <v>2.5</v>
      </c>
      <c r="AE29" s="2">
        <f t="shared" si="17"/>
        <v>1.8807264653463323</v>
      </c>
    </row>
    <row r="30" spans="2:31" x14ac:dyDescent="0.35">
      <c r="B30" s="16">
        <f t="shared" si="0"/>
        <v>1700</v>
      </c>
      <c r="C30" s="2">
        <v>0</v>
      </c>
      <c r="D30" s="2">
        <v>0</v>
      </c>
      <c r="E30" s="2">
        <v>0</v>
      </c>
      <c r="F30" s="2">
        <v>35</v>
      </c>
      <c r="G30" s="2">
        <v>18</v>
      </c>
      <c r="H30" s="8">
        <v>18</v>
      </c>
      <c r="I30" s="2">
        <v>1.4</v>
      </c>
      <c r="J30" s="33">
        <v>3</v>
      </c>
      <c r="K30" s="10">
        <f t="shared" si="1"/>
        <v>6</v>
      </c>
      <c r="L30" s="3">
        <f t="shared" si="2"/>
        <v>3</v>
      </c>
      <c r="M30" s="10">
        <f t="shared" si="3"/>
        <v>6</v>
      </c>
      <c r="N30" s="3">
        <f t="shared" si="4"/>
        <v>33.296091491411751</v>
      </c>
      <c r="O30" s="3">
        <f t="shared" si="5"/>
        <v>33.920950075495462</v>
      </c>
      <c r="P30" s="3">
        <f t="shared" si="6"/>
        <v>1.1845086166071332</v>
      </c>
      <c r="Q30" s="3">
        <f t="shared" si="7"/>
        <v>1.1845086166071332</v>
      </c>
      <c r="R30" s="3">
        <v>1</v>
      </c>
      <c r="S30" s="3">
        <v>1</v>
      </c>
      <c r="T30" s="3">
        <f t="shared" si="8"/>
        <v>1.0896458325919878</v>
      </c>
      <c r="U30" s="3">
        <f t="shared" si="9"/>
        <v>1.0896458325919878</v>
      </c>
      <c r="V30" s="3">
        <f t="shared" si="10"/>
        <v>25.2</v>
      </c>
      <c r="W30" s="4">
        <f t="shared" si="11"/>
        <v>1082.972387378341</v>
      </c>
      <c r="X30" s="4">
        <f t="shared" si="12"/>
        <v>1182.103105797918</v>
      </c>
      <c r="Y30" s="11">
        <f t="shared" si="13"/>
        <v>2239.8754931762592</v>
      </c>
      <c r="Z30" s="4">
        <f t="shared" si="14"/>
        <v>94.444444444444443</v>
      </c>
      <c r="AA30" s="11">
        <f t="shared" si="15"/>
        <v>23.716328751278038</v>
      </c>
      <c r="AB30" s="4">
        <v>2.5</v>
      </c>
      <c r="AC30" s="20">
        <f t="shared" si="16"/>
        <v>3</v>
      </c>
      <c r="AE30" s="2">
        <f t="shared" si="17"/>
        <v>1.9209821269711655</v>
      </c>
    </row>
    <row r="31" spans="2:31" x14ac:dyDescent="0.35">
      <c r="B31" s="16">
        <f t="shared" si="0"/>
        <v>1700</v>
      </c>
      <c r="C31" s="2">
        <v>0</v>
      </c>
      <c r="D31" s="2">
        <v>0</v>
      </c>
      <c r="E31" s="2">
        <v>0</v>
      </c>
      <c r="F31" s="2">
        <v>36</v>
      </c>
      <c r="G31" s="2">
        <v>18</v>
      </c>
      <c r="H31" s="8">
        <v>18</v>
      </c>
      <c r="I31" s="2">
        <v>1.4</v>
      </c>
      <c r="J31" s="33">
        <v>3.5</v>
      </c>
      <c r="K31" s="10">
        <f t="shared" si="1"/>
        <v>7</v>
      </c>
      <c r="L31" s="3">
        <f t="shared" si="2"/>
        <v>3.5</v>
      </c>
      <c r="M31" s="10">
        <f t="shared" si="3"/>
        <v>7</v>
      </c>
      <c r="N31" s="3">
        <f t="shared" si="4"/>
        <v>37.752497171885743</v>
      </c>
      <c r="O31" s="3">
        <f t="shared" si="5"/>
        <v>40.053378308657614</v>
      </c>
      <c r="P31" s="3">
        <f t="shared" si="6"/>
        <v>1.1925919998159591</v>
      </c>
      <c r="Q31" s="3">
        <f t="shared" si="7"/>
        <v>1.1925919998159591</v>
      </c>
      <c r="R31" s="3">
        <v>1</v>
      </c>
      <c r="S31" s="3">
        <v>1</v>
      </c>
      <c r="T31" s="3">
        <f t="shared" si="8"/>
        <v>1.0785044202202061</v>
      </c>
      <c r="U31" s="3">
        <f t="shared" si="9"/>
        <v>1.0785044202202061</v>
      </c>
      <c r="V31" s="3">
        <f t="shared" si="10"/>
        <v>25.2</v>
      </c>
      <c r="W31" s="4">
        <f t="shared" si="11"/>
        <v>1223.657976546235</v>
      </c>
      <c r="X31" s="4">
        <f t="shared" si="12"/>
        <v>1622.7945012440052</v>
      </c>
      <c r="Y31" s="11">
        <f t="shared" si="13"/>
        <v>2821.2524777902404</v>
      </c>
      <c r="Z31" s="4">
        <f t="shared" si="14"/>
        <v>69.387755102040813</v>
      </c>
      <c r="AA31" s="11">
        <f t="shared" si="15"/>
        <v>40.659226885800528</v>
      </c>
      <c r="AB31" s="4">
        <v>2.5</v>
      </c>
      <c r="AC31" s="20">
        <f t="shared" si="16"/>
        <v>3.5</v>
      </c>
      <c r="AE31" s="2">
        <f t="shared" si="17"/>
        <v>1.9626105055051506</v>
      </c>
    </row>
    <row r="32" spans="2:31" x14ac:dyDescent="0.35">
      <c r="B32" s="16">
        <f t="shared" si="0"/>
        <v>1700</v>
      </c>
      <c r="C32" s="2">
        <v>0</v>
      </c>
      <c r="D32" s="2">
        <v>0</v>
      </c>
      <c r="E32" s="2">
        <v>0</v>
      </c>
      <c r="F32" s="2">
        <v>37</v>
      </c>
      <c r="G32" s="2">
        <v>18</v>
      </c>
      <c r="H32" s="8">
        <v>18</v>
      </c>
      <c r="I32" s="2">
        <v>1.4</v>
      </c>
      <c r="J32" s="33">
        <v>4</v>
      </c>
      <c r="K32" s="10">
        <f t="shared" si="1"/>
        <v>8</v>
      </c>
      <c r="L32" s="3">
        <f t="shared" si="2"/>
        <v>4</v>
      </c>
      <c r="M32" s="10">
        <f t="shared" si="3"/>
        <v>8</v>
      </c>
      <c r="N32" s="3">
        <f t="shared" si="4"/>
        <v>42.919911654584332</v>
      </c>
      <c r="O32" s="3">
        <f t="shared" si="5"/>
        <v>47.383378810895024</v>
      </c>
      <c r="P32" s="3">
        <f t="shared" si="6"/>
        <v>1.2011395602908075</v>
      </c>
      <c r="Q32" s="3">
        <f t="shared" si="7"/>
        <v>1.2011395602908075</v>
      </c>
      <c r="R32" s="3">
        <v>1</v>
      </c>
      <c r="S32" s="3">
        <v>1</v>
      </c>
      <c r="T32" s="3">
        <f t="shared" si="8"/>
        <v>1.0701991397890658</v>
      </c>
      <c r="U32" s="3">
        <f t="shared" si="9"/>
        <v>1.0701991397890658</v>
      </c>
      <c r="V32" s="3">
        <f t="shared" si="10"/>
        <v>25.2</v>
      </c>
      <c r="W32" s="4">
        <f t="shared" si="11"/>
        <v>1390.3285106052779</v>
      </c>
      <c r="X32" s="4">
        <f t="shared" si="12"/>
        <v>2192.7372551057233</v>
      </c>
      <c r="Y32" s="11">
        <f t="shared" si="13"/>
        <v>3557.8657657110016</v>
      </c>
      <c r="Z32" s="4">
        <f t="shared" si="14"/>
        <v>53.125</v>
      </c>
      <c r="AA32" s="11">
        <f t="shared" si="15"/>
        <v>66.9715908839718</v>
      </c>
      <c r="AB32" s="4">
        <v>2.5</v>
      </c>
      <c r="AC32" s="20">
        <f t="shared" si="16"/>
        <v>4</v>
      </c>
      <c r="AE32" s="2">
        <f t="shared" si="17"/>
        <v>2.0056897082590197</v>
      </c>
    </row>
    <row r="33" spans="2:31" x14ac:dyDescent="0.35">
      <c r="B33" s="16">
        <f t="shared" si="0"/>
        <v>1700</v>
      </c>
      <c r="C33" s="2">
        <v>0</v>
      </c>
      <c r="D33" s="2">
        <v>0</v>
      </c>
      <c r="E33" s="2">
        <v>0</v>
      </c>
      <c r="F33" s="2">
        <v>38</v>
      </c>
      <c r="G33" s="2">
        <v>18</v>
      </c>
      <c r="H33" s="8">
        <v>18</v>
      </c>
      <c r="I33" s="2">
        <v>1.4</v>
      </c>
      <c r="J33" s="33">
        <v>4.5</v>
      </c>
      <c r="K33" s="10">
        <f t="shared" si="1"/>
        <v>9</v>
      </c>
      <c r="L33" s="3">
        <f t="shared" si="2"/>
        <v>4.5</v>
      </c>
      <c r="M33" s="10">
        <f t="shared" si="3"/>
        <v>9</v>
      </c>
      <c r="N33" s="3">
        <f t="shared" si="4"/>
        <v>48.933252702059363</v>
      </c>
      <c r="O33" s="3">
        <f t="shared" si="5"/>
        <v>56.174342051749889</v>
      </c>
      <c r="P33" s="3">
        <f t="shared" si="6"/>
        <v>1.210187292139741</v>
      </c>
      <c r="Q33" s="3">
        <f t="shared" si="7"/>
        <v>1.210187292139741</v>
      </c>
      <c r="R33" s="3">
        <v>1</v>
      </c>
      <c r="S33" s="3">
        <v>1</v>
      </c>
      <c r="T33" s="3">
        <f t="shared" si="8"/>
        <v>1.0637872306269114</v>
      </c>
      <c r="U33" s="3">
        <f t="shared" si="9"/>
        <v>1.0637872306269114</v>
      </c>
      <c r="V33" s="3">
        <f t="shared" si="10"/>
        <v>25.2</v>
      </c>
      <c r="W33" s="4">
        <f t="shared" si="11"/>
        <v>1587.4936146328284</v>
      </c>
      <c r="X33" s="4">
        <f t="shared" si="12"/>
        <v>2928.8719089702363</v>
      </c>
      <c r="Y33" s="11">
        <f t="shared" si="13"/>
        <v>4491.1655236030647</v>
      </c>
      <c r="Z33" s="4">
        <f t="shared" si="14"/>
        <v>41.97530864197531</v>
      </c>
      <c r="AA33" s="11">
        <f t="shared" si="15"/>
        <v>106.99541394466124</v>
      </c>
      <c r="AB33" s="4">
        <v>2.5</v>
      </c>
      <c r="AC33" s="20">
        <f t="shared" si="16"/>
        <v>4.5</v>
      </c>
      <c r="AE33" s="2">
        <f t="shared" si="17"/>
        <v>2.050303841579296</v>
      </c>
    </row>
    <row r="34" spans="2:31" x14ac:dyDescent="0.35">
      <c r="B34" s="16">
        <f t="shared" si="0"/>
        <v>1700</v>
      </c>
      <c r="C34" s="2">
        <v>0</v>
      </c>
      <c r="D34" s="2">
        <v>0</v>
      </c>
      <c r="E34" s="2">
        <v>0</v>
      </c>
      <c r="F34" s="2">
        <v>39</v>
      </c>
      <c r="G34" s="2">
        <v>18</v>
      </c>
      <c r="H34" s="8">
        <v>18</v>
      </c>
      <c r="I34" s="2">
        <v>1.4</v>
      </c>
      <c r="J34" s="33">
        <v>5</v>
      </c>
      <c r="K34" s="10">
        <f t="shared" si="1"/>
        <v>10</v>
      </c>
      <c r="L34" s="3">
        <f t="shared" si="2"/>
        <v>5</v>
      </c>
      <c r="M34" s="10">
        <f t="shared" si="3"/>
        <v>10</v>
      </c>
      <c r="N34" s="3">
        <f t="shared" si="4"/>
        <v>55.95745874448361</v>
      </c>
      <c r="O34" s="3">
        <f t="shared" si="5"/>
        <v>66.755508894384221</v>
      </c>
      <c r="P34" s="3">
        <f t="shared" si="6"/>
        <v>1.2197747531438798</v>
      </c>
      <c r="Q34" s="3">
        <f t="shared" si="7"/>
        <v>1.2197747531438798</v>
      </c>
      <c r="R34" s="3">
        <v>1</v>
      </c>
      <c r="S34" s="3">
        <v>1</v>
      </c>
      <c r="T34" s="3">
        <f t="shared" si="8"/>
        <v>1.0587032207744689</v>
      </c>
      <c r="U34" s="3">
        <f t="shared" si="9"/>
        <v>1.0587032207744689</v>
      </c>
      <c r="V34" s="3">
        <f t="shared" si="10"/>
        <v>25.2</v>
      </c>
      <c r="W34" s="4">
        <f t="shared" si="11"/>
        <v>1821.0102836615033</v>
      </c>
      <c r="X34" s="4">
        <f t="shared" si="12"/>
        <v>3879.3011855799959</v>
      </c>
      <c r="Y34" s="11">
        <f t="shared" si="13"/>
        <v>5675.1114692414994</v>
      </c>
      <c r="Z34" s="4">
        <f t="shared" si="14"/>
        <v>34</v>
      </c>
      <c r="AA34" s="11">
        <f t="shared" si="15"/>
        <v>166.91504321298527</v>
      </c>
      <c r="AB34" s="4">
        <v>2.5</v>
      </c>
      <c r="AC34" s="20">
        <f t="shared" si="16"/>
        <v>5</v>
      </c>
      <c r="AE34" s="2">
        <f t="shared" si="17"/>
        <v>2.0965435990881742</v>
      </c>
    </row>
    <row r="35" spans="2:31" x14ac:dyDescent="0.35">
      <c r="B35" s="16">
        <f t="shared" si="0"/>
        <v>1700</v>
      </c>
      <c r="C35" s="2">
        <v>0</v>
      </c>
      <c r="D35" s="2">
        <v>0</v>
      </c>
      <c r="E35" s="2">
        <v>0</v>
      </c>
      <c r="F35" s="2">
        <v>40</v>
      </c>
      <c r="G35" s="2">
        <v>18</v>
      </c>
      <c r="H35" s="8">
        <v>18</v>
      </c>
      <c r="I35" s="2">
        <v>1.4</v>
      </c>
      <c r="J35" s="33">
        <v>5.5</v>
      </c>
      <c r="K35" s="10">
        <f t="shared" si="1"/>
        <v>11</v>
      </c>
      <c r="L35" s="3">
        <f t="shared" si="2"/>
        <v>5.5</v>
      </c>
      <c r="M35" s="10">
        <f t="shared" si="3"/>
        <v>11</v>
      </c>
      <c r="N35" s="3">
        <f t="shared" si="4"/>
        <v>64.195206388965758</v>
      </c>
      <c r="O35" s="3">
        <f t="shared" si="5"/>
        <v>79.540611559729882</v>
      </c>
      <c r="P35" s="3">
        <f t="shared" si="6"/>
        <v>1.2299454966056695</v>
      </c>
      <c r="Q35" s="3">
        <f t="shared" si="7"/>
        <v>1.2299454966056695</v>
      </c>
      <c r="R35" s="3">
        <v>1</v>
      </c>
      <c r="S35" s="3">
        <v>1</v>
      </c>
      <c r="T35" s="3">
        <f t="shared" si="8"/>
        <v>1.0545874488856979</v>
      </c>
      <c r="U35" s="3">
        <f t="shared" si="9"/>
        <v>1.0545874488856979</v>
      </c>
      <c r="V35" s="3">
        <f t="shared" si="10"/>
        <v>25.2</v>
      </c>
      <c r="W35" s="4">
        <f t="shared" si="11"/>
        <v>2098.3194449658713</v>
      </c>
      <c r="X35" s="4">
        <f t="shared" si="12"/>
        <v>5106.9615690695491</v>
      </c>
      <c r="Y35" s="11">
        <f t="shared" si="13"/>
        <v>7180.0810140354206</v>
      </c>
      <c r="Z35" s="4">
        <f t="shared" si="14"/>
        <v>28.099173553719009</v>
      </c>
      <c r="AA35" s="11">
        <f t="shared" si="15"/>
        <v>255.52641255831938</v>
      </c>
      <c r="AB35" s="4">
        <v>2.5</v>
      </c>
      <c r="AC35" s="20">
        <f t="shared" si="16"/>
        <v>5.5</v>
      </c>
      <c r="AE35" s="2">
        <f t="shared" si="17"/>
        <v>2.1445069205095582</v>
      </c>
    </row>
    <row r="36" spans="2:31" x14ac:dyDescent="0.35">
      <c r="B36" s="16">
        <f t="shared" si="0"/>
        <v>1700</v>
      </c>
      <c r="C36" s="2">
        <v>0</v>
      </c>
      <c r="D36" s="2">
        <v>0</v>
      </c>
      <c r="E36" s="2">
        <v>0</v>
      </c>
      <c r="F36" s="2">
        <v>41</v>
      </c>
      <c r="G36" s="2">
        <v>18</v>
      </c>
      <c r="H36" s="8">
        <v>18</v>
      </c>
      <c r="I36" s="2">
        <v>1.4</v>
      </c>
      <c r="J36" s="33">
        <v>6</v>
      </c>
      <c r="K36" s="10">
        <f t="shared" si="1"/>
        <v>12</v>
      </c>
      <c r="L36" s="3">
        <f t="shared" si="2"/>
        <v>6</v>
      </c>
      <c r="M36" s="10">
        <f t="shared" si="3"/>
        <v>12</v>
      </c>
      <c r="N36" s="3">
        <f t="shared" si="4"/>
        <v>73.896891426515623</v>
      </c>
      <c r="O36" s="3">
        <f t="shared" si="5"/>
        <v>95.052451417649138</v>
      </c>
      <c r="P36" s="3">
        <f t="shared" si="6"/>
        <v>1.2407475655095479</v>
      </c>
      <c r="Q36" s="3">
        <f t="shared" si="7"/>
        <v>1.2407475655095479</v>
      </c>
      <c r="R36" s="3">
        <v>1</v>
      </c>
      <c r="S36" s="3">
        <v>1</v>
      </c>
      <c r="T36" s="3">
        <f t="shared" si="8"/>
        <v>1.0512003270605175</v>
      </c>
      <c r="U36" s="3">
        <f t="shared" si="9"/>
        <v>1.0512003270605175</v>
      </c>
      <c r="V36" s="3">
        <f t="shared" si="10"/>
        <v>25.2</v>
      </c>
      <c r="W36" s="4">
        <f t="shared" si="11"/>
        <v>2428.821672380946</v>
      </c>
      <c r="X36" s="4">
        <f t="shared" si="12"/>
        <v>6694.6210811771007</v>
      </c>
      <c r="Y36" s="11">
        <f t="shared" si="13"/>
        <v>9098.2427535580464</v>
      </c>
      <c r="Z36" s="4">
        <f t="shared" si="14"/>
        <v>23.611111111111111</v>
      </c>
      <c r="AA36" s="11">
        <f t="shared" si="15"/>
        <v>385.33734015069376</v>
      </c>
      <c r="AB36" s="4">
        <v>2.5</v>
      </c>
      <c r="AC36" s="20">
        <f t="shared" si="16"/>
        <v>6</v>
      </c>
      <c r="AE36" s="2">
        <f t="shared" si="17"/>
        <v>2.1942997311650378</v>
      </c>
    </row>
    <row r="37" spans="2:31" x14ac:dyDescent="0.35">
      <c r="B37" s="16">
        <f t="shared" si="0"/>
        <v>1700</v>
      </c>
      <c r="C37" s="2">
        <v>0</v>
      </c>
      <c r="D37" s="2">
        <v>0</v>
      </c>
      <c r="E37" s="2">
        <v>0</v>
      </c>
      <c r="F37" s="2">
        <v>42</v>
      </c>
      <c r="G37" s="2">
        <v>18</v>
      </c>
      <c r="H37" s="8">
        <v>18</v>
      </c>
      <c r="I37" s="2">
        <v>1.4</v>
      </c>
      <c r="J37" s="33">
        <v>6.5</v>
      </c>
      <c r="K37" s="10">
        <f t="shared" si="1"/>
        <v>13</v>
      </c>
      <c r="L37" s="3">
        <f t="shared" si="2"/>
        <v>6.5</v>
      </c>
      <c r="M37" s="10">
        <f t="shared" si="3"/>
        <v>13</v>
      </c>
      <c r="N37" s="3">
        <f t="shared" si="4"/>
        <v>85.373623034637603</v>
      </c>
      <c r="O37" s="3">
        <f t="shared" si="5"/>
        <v>113.95552711867363</v>
      </c>
      <c r="P37" s="3">
        <f t="shared" si="6"/>
        <v>1.2522340594865029</v>
      </c>
      <c r="Q37" s="3">
        <f t="shared" si="7"/>
        <v>1.2522340594865029</v>
      </c>
      <c r="R37" s="3">
        <v>1</v>
      </c>
      <c r="S37" s="3">
        <v>1</v>
      </c>
      <c r="T37" s="3">
        <f t="shared" si="8"/>
        <v>1.0483761766687061</v>
      </c>
      <c r="U37" s="3">
        <f t="shared" si="9"/>
        <v>1.0483761766687061</v>
      </c>
      <c r="V37" s="3">
        <f t="shared" si="10"/>
        <v>25.2</v>
      </c>
      <c r="W37" s="4">
        <f t="shared" si="11"/>
        <v>2824.4045884420416</v>
      </c>
      <c r="X37" s="4">
        <f t="shared" si="12"/>
        <v>8751.7301032915057</v>
      </c>
      <c r="Y37" s="11">
        <f t="shared" si="13"/>
        <v>11550.934691733546</v>
      </c>
      <c r="Z37" s="4">
        <f t="shared" si="14"/>
        <v>20.118343195266274</v>
      </c>
      <c r="AA37" s="11">
        <f t="shared" si="15"/>
        <v>574.14940085381443</v>
      </c>
      <c r="AB37" s="4">
        <v>2.5</v>
      </c>
      <c r="AC37" s="20">
        <f t="shared" si="16"/>
        <v>6.5</v>
      </c>
      <c r="AE37" s="2">
        <f t="shared" si="17"/>
        <v>2.246036773904216</v>
      </c>
    </row>
    <row r="38" spans="2:31" x14ac:dyDescent="0.35">
      <c r="B38" s="16">
        <f t="shared" si="0"/>
        <v>1700</v>
      </c>
      <c r="C38" s="2">
        <v>0</v>
      </c>
      <c r="D38" s="2">
        <v>0</v>
      </c>
      <c r="E38" s="2">
        <v>0</v>
      </c>
      <c r="F38" s="2">
        <v>43</v>
      </c>
      <c r="G38" s="2">
        <v>18</v>
      </c>
      <c r="H38" s="8">
        <v>18</v>
      </c>
      <c r="I38" s="2">
        <v>1.4</v>
      </c>
      <c r="J38" s="33">
        <v>7</v>
      </c>
      <c r="K38" s="10">
        <f t="shared" si="1"/>
        <v>14</v>
      </c>
      <c r="L38" s="3">
        <f t="shared" si="2"/>
        <v>7</v>
      </c>
      <c r="M38" s="10">
        <f t="shared" si="3"/>
        <v>14</v>
      </c>
      <c r="N38" s="3">
        <f t="shared" si="4"/>
        <v>99.014258964580648</v>
      </c>
      <c r="O38" s="3">
        <f t="shared" si="5"/>
        <v>137.0996627116125</v>
      </c>
      <c r="P38" s="3">
        <f t="shared" si="6"/>
        <v>1.2644637871039077</v>
      </c>
      <c r="Q38" s="3">
        <f t="shared" si="7"/>
        <v>1.2644637871039077</v>
      </c>
      <c r="R38" s="3">
        <v>1</v>
      </c>
      <c r="S38" s="3">
        <v>1</v>
      </c>
      <c r="T38" s="3">
        <f t="shared" si="8"/>
        <v>1.0459968509447251</v>
      </c>
      <c r="U38" s="3">
        <f t="shared" si="9"/>
        <v>1.0459968509447251</v>
      </c>
      <c r="V38" s="3">
        <f t="shared" si="10"/>
        <v>25.2</v>
      </c>
      <c r="W38" s="4">
        <f t="shared" si="11"/>
        <v>3300.1604513641346</v>
      </c>
      <c r="X38" s="4">
        <f t="shared" si="12"/>
        <v>11423.882012238166</v>
      </c>
      <c r="Y38" s="11">
        <f t="shared" si="13"/>
        <v>14698.842463602299</v>
      </c>
      <c r="Z38" s="4">
        <f t="shared" si="14"/>
        <v>17.346938775510203</v>
      </c>
      <c r="AA38" s="11">
        <f t="shared" si="15"/>
        <v>847.34503613707375</v>
      </c>
      <c r="AB38" s="4">
        <v>2.5</v>
      </c>
      <c r="AC38" s="20">
        <f t="shared" si="16"/>
        <v>7</v>
      </c>
      <c r="AE38" s="2">
        <f t="shared" si="17"/>
        <v>2.2998425472362571</v>
      </c>
    </row>
    <row r="39" spans="2:31" x14ac:dyDescent="0.35">
      <c r="B39" s="16">
        <f t="shared" si="0"/>
        <v>1700</v>
      </c>
      <c r="C39" s="2">
        <v>0</v>
      </c>
      <c r="D39" s="2">
        <v>0</v>
      </c>
      <c r="E39" s="2">
        <v>0</v>
      </c>
      <c r="F39" s="2">
        <v>44</v>
      </c>
      <c r="G39" s="2">
        <v>18</v>
      </c>
      <c r="H39" s="8">
        <v>18</v>
      </c>
      <c r="I39" s="2">
        <v>1.4</v>
      </c>
      <c r="J39" s="33">
        <v>7.5</v>
      </c>
      <c r="K39" s="10">
        <f t="shared" si="1"/>
        <v>15</v>
      </c>
      <c r="L39" s="3">
        <f t="shared" si="2"/>
        <v>7.5</v>
      </c>
      <c r="M39" s="10">
        <f t="shared" si="3"/>
        <v>15</v>
      </c>
      <c r="N39" s="3">
        <f t="shared" si="4"/>
        <v>115.30790233772963</v>
      </c>
      <c r="O39" s="3">
        <f t="shared" si="5"/>
        <v>165.57878723893319</v>
      </c>
      <c r="P39" s="3">
        <f t="shared" si="6"/>
        <v>1.2775020184778687</v>
      </c>
      <c r="Q39" s="3">
        <f t="shared" si="7"/>
        <v>1.2775020184778687</v>
      </c>
      <c r="R39" s="3">
        <v>1</v>
      </c>
      <c r="S39" s="3">
        <v>1</v>
      </c>
      <c r="T39" s="3">
        <f t="shared" si="8"/>
        <v>1.0439759108287101</v>
      </c>
      <c r="U39" s="3">
        <f t="shared" si="9"/>
        <v>1.0439759108287101</v>
      </c>
      <c r="V39" s="3">
        <f t="shared" si="10"/>
        <v>25.2</v>
      </c>
      <c r="W39" s="4">
        <f t="shared" si="11"/>
        <v>3875.3567227065982</v>
      </c>
      <c r="X39" s="4">
        <f t="shared" si="12"/>
        <v>14905.980297133692</v>
      </c>
      <c r="Y39" s="11">
        <f t="shared" si="13"/>
        <v>18756.137019840291</v>
      </c>
      <c r="Z39" s="4">
        <f t="shared" si="14"/>
        <v>15.111111111111111</v>
      </c>
      <c r="AA39" s="11">
        <f t="shared" si="15"/>
        <v>1241.2149498423723</v>
      </c>
      <c r="AB39" s="4">
        <v>2.5</v>
      </c>
      <c r="AC39" s="20">
        <f t="shared" si="16"/>
        <v>7.5</v>
      </c>
      <c r="AE39" s="2">
        <f t="shared" si="17"/>
        <v>2.3558523658237527</v>
      </c>
    </row>
    <row r="40" spans="2:31" ht="13.9" thickBot="1" x14ac:dyDescent="0.4">
      <c r="B40" s="16">
        <f t="shared" si="0"/>
        <v>1700</v>
      </c>
      <c r="C40" s="2">
        <v>0</v>
      </c>
      <c r="D40" s="2">
        <v>0</v>
      </c>
      <c r="E40" s="2">
        <v>0</v>
      </c>
      <c r="F40" s="21">
        <v>45</v>
      </c>
      <c r="G40" s="2">
        <v>18</v>
      </c>
      <c r="H40" s="8">
        <v>18</v>
      </c>
      <c r="I40" s="2">
        <v>1.4</v>
      </c>
      <c r="J40" s="33">
        <v>8</v>
      </c>
      <c r="K40" s="10">
        <f t="shared" si="1"/>
        <v>16</v>
      </c>
      <c r="L40" s="3">
        <f t="shared" si="2"/>
        <v>8</v>
      </c>
      <c r="M40" s="10">
        <f t="shared" si="3"/>
        <v>16</v>
      </c>
      <c r="N40" s="3">
        <f t="shared" si="4"/>
        <v>134.87384062630491</v>
      </c>
      <c r="O40" s="3">
        <f t="shared" si="5"/>
        <v>200.81076093945734</v>
      </c>
      <c r="P40" s="3">
        <f t="shared" si="6"/>
        <v>1.2914213562373096</v>
      </c>
      <c r="Q40" s="3">
        <f t="shared" si="7"/>
        <v>1.2914213562373096</v>
      </c>
      <c r="R40" s="3">
        <v>1</v>
      </c>
      <c r="S40" s="3">
        <v>1</v>
      </c>
      <c r="T40" s="3">
        <f t="shared" si="8"/>
        <v>1.0422487373415292</v>
      </c>
      <c r="U40" s="3">
        <f t="shared" si="9"/>
        <v>1.0422487373415292</v>
      </c>
      <c r="V40" s="3">
        <f t="shared" si="10"/>
        <v>25.2</v>
      </c>
      <c r="W40" s="4">
        <f t="shared" si="11"/>
        <v>4574.7525407782841</v>
      </c>
      <c r="X40" s="4">
        <f t="shared" si="12"/>
        <v>19460.716231606482</v>
      </c>
      <c r="Y40" s="11">
        <f t="shared" si="13"/>
        <v>24010.268772384767</v>
      </c>
      <c r="Z40" s="4">
        <f t="shared" si="14"/>
        <v>13.28125</v>
      </c>
      <c r="AA40" s="11">
        <f t="shared" si="15"/>
        <v>1807.8320016854414</v>
      </c>
      <c r="AB40" s="4">
        <v>2.5</v>
      </c>
      <c r="AC40" s="20">
        <f t="shared" si="16"/>
        <v>8</v>
      </c>
      <c r="AE40" s="2">
        <f t="shared" si="17"/>
        <v>2.4142135623730949</v>
      </c>
    </row>
    <row r="41" spans="2:31" x14ac:dyDescent="0.35">
      <c r="B41" s="2"/>
      <c r="C41" s="2"/>
      <c r="D41" s="2"/>
      <c r="E41" s="2"/>
      <c r="F41" s="2"/>
      <c r="G41" s="2"/>
      <c r="H41" s="2"/>
      <c r="I41" s="2"/>
      <c r="J41" s="3"/>
      <c r="K41" s="3"/>
      <c r="L41" s="3"/>
      <c r="M41" s="3"/>
      <c r="N41" s="5"/>
      <c r="O41" s="5"/>
      <c r="P41" s="2"/>
      <c r="Q41" s="2"/>
      <c r="R41" s="3"/>
      <c r="S41" s="3"/>
      <c r="T41" s="3"/>
      <c r="U41" s="3"/>
      <c r="V41" s="2"/>
      <c r="W41" s="4"/>
      <c r="X41" s="4"/>
      <c r="Y41" s="4"/>
      <c r="Z41" s="4"/>
      <c r="AA41" s="4"/>
      <c r="AB41" s="4"/>
      <c r="AC41" s="3"/>
    </row>
    <row r="42" spans="2:31" x14ac:dyDescent="0.35">
      <c r="B42" s="2"/>
      <c r="C42" s="2"/>
      <c r="D42" s="2"/>
      <c r="E42" s="2"/>
      <c r="F42" s="2"/>
      <c r="G42" s="2"/>
      <c r="H42" s="2"/>
      <c r="I42" s="2"/>
      <c r="J42" s="3"/>
      <c r="K42" s="3"/>
      <c r="L42" s="3"/>
      <c r="M42" s="3"/>
      <c r="N42" s="5"/>
      <c r="O42" s="5"/>
      <c r="P42" s="2"/>
      <c r="Q42" s="2"/>
      <c r="R42" s="3"/>
      <c r="S42" s="3"/>
      <c r="T42" s="3"/>
      <c r="U42" s="3"/>
      <c r="V42" s="2"/>
      <c r="W42" s="4"/>
      <c r="X42" s="4"/>
      <c r="Y42" s="4"/>
      <c r="Z42" s="4"/>
      <c r="AA42" s="4"/>
      <c r="AB42" s="4"/>
      <c r="AC42" s="3"/>
    </row>
    <row r="43" spans="2:31" x14ac:dyDescent="0.35">
      <c r="B43" s="2"/>
      <c r="C43" s="2"/>
      <c r="D43" s="2"/>
      <c r="E43" s="2"/>
      <c r="F43" s="2"/>
      <c r="G43" s="2"/>
      <c r="H43" s="2"/>
      <c r="I43" s="2"/>
      <c r="J43" s="3"/>
      <c r="K43" s="3"/>
      <c r="L43" s="3"/>
      <c r="M43" s="3"/>
      <c r="N43" s="5"/>
      <c r="O43" s="5"/>
      <c r="P43" s="2"/>
      <c r="Q43" s="2"/>
      <c r="R43" s="3"/>
      <c r="S43" s="3"/>
      <c r="T43" s="3"/>
      <c r="U43" s="3"/>
      <c r="V43" s="2"/>
      <c r="W43" s="4"/>
      <c r="X43" s="4"/>
      <c r="Y43" s="4"/>
      <c r="Z43" s="4"/>
      <c r="AA43" s="4"/>
      <c r="AB43" s="4"/>
      <c r="AC43" s="3"/>
    </row>
    <row r="44" spans="2:31" x14ac:dyDescent="0.35">
      <c r="B44" s="2"/>
      <c r="C44" s="2"/>
      <c r="D44" s="2"/>
      <c r="E44" s="2"/>
      <c r="F44" s="2"/>
      <c r="G44" s="2"/>
      <c r="H44" s="2"/>
      <c r="I44" s="2"/>
      <c r="J44" s="3"/>
      <c r="K44" s="3"/>
      <c r="L44" s="3"/>
      <c r="M44" s="3"/>
      <c r="N44" s="5"/>
      <c r="O44" s="5"/>
      <c r="P44" s="2"/>
      <c r="Q44" s="2">
        <f>V25*N25*P25*R25*T25</f>
        <v>618.81694560809956</v>
      </c>
      <c r="R44" s="3"/>
      <c r="S44" s="3"/>
      <c r="T44" s="3"/>
      <c r="U44" s="3"/>
      <c r="V44" s="2"/>
      <c r="W44" s="4"/>
      <c r="X44" s="4"/>
      <c r="Y44" s="4"/>
      <c r="Z44" s="4"/>
      <c r="AA44" s="4"/>
      <c r="AB44" s="4"/>
      <c r="AC44" s="3"/>
    </row>
    <row r="45" spans="2:31" x14ac:dyDescent="0.35">
      <c r="B45" s="2"/>
      <c r="C45" s="2"/>
      <c r="D45" s="2"/>
      <c r="E45" s="2"/>
      <c r="F45" s="2"/>
      <c r="G45" s="2"/>
      <c r="H45" s="2"/>
      <c r="I45" s="2"/>
      <c r="J45" s="3"/>
      <c r="K45" s="3"/>
      <c r="L45" s="3"/>
      <c r="M45" s="3"/>
      <c r="N45" s="5"/>
      <c r="O45" s="5"/>
      <c r="P45" s="2"/>
      <c r="Q45" s="2"/>
      <c r="R45" s="3"/>
      <c r="S45" s="3"/>
      <c r="T45" s="3"/>
      <c r="U45" s="3"/>
      <c r="V45" s="2"/>
      <c r="W45" s="4"/>
      <c r="X45" s="4"/>
      <c r="Y45" s="4"/>
      <c r="Z45" s="4"/>
      <c r="AA45" s="4"/>
      <c r="AB45" s="4"/>
      <c r="AC45" s="3"/>
    </row>
    <row r="46" spans="2:31" x14ac:dyDescent="0.35">
      <c r="B46" s="2"/>
      <c r="C46" s="2"/>
      <c r="D46" s="2"/>
      <c r="E46" s="2"/>
      <c r="F46" s="2"/>
      <c r="G46" s="2"/>
      <c r="H46" s="2"/>
      <c r="I46" s="2"/>
      <c r="J46" s="3"/>
      <c r="K46" s="3"/>
      <c r="L46" s="3"/>
      <c r="M46" s="3"/>
      <c r="N46" s="5"/>
      <c r="O46" s="5"/>
      <c r="P46" s="2"/>
      <c r="Q46" s="2"/>
      <c r="R46" s="3"/>
      <c r="S46" s="3"/>
      <c r="T46" s="3"/>
      <c r="U46" s="3"/>
      <c r="V46" s="2"/>
      <c r="W46" s="4"/>
      <c r="X46" s="4"/>
      <c r="Y46" s="4"/>
      <c r="Z46" s="4"/>
      <c r="AA46" s="4"/>
      <c r="AB46" s="4"/>
      <c r="AC46" s="3"/>
    </row>
    <row r="47" spans="2:31" x14ac:dyDescent="0.35">
      <c r="B47" s="2"/>
      <c r="C47" s="2"/>
      <c r="D47" s="2"/>
      <c r="E47" s="2"/>
      <c r="F47" s="2"/>
      <c r="G47" s="2"/>
      <c r="H47" s="2"/>
      <c r="I47" s="2"/>
      <c r="J47" s="3"/>
      <c r="K47" s="3"/>
      <c r="L47" s="3"/>
      <c r="M47" s="3"/>
      <c r="N47" s="5"/>
      <c r="O47" s="5"/>
      <c r="P47" s="2"/>
      <c r="Q47" s="2"/>
      <c r="R47" s="3"/>
      <c r="S47" s="3"/>
      <c r="T47" s="3"/>
      <c r="U47" s="3"/>
      <c r="V47" s="2"/>
      <c r="W47" s="4"/>
      <c r="X47" s="4"/>
      <c r="Y47" s="4"/>
      <c r="Z47" s="4"/>
      <c r="AA47" s="4"/>
      <c r="AB47" s="4"/>
      <c r="AC47" s="3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AC47"/>
  <sheetViews>
    <sheetView showGridLines="0" topLeftCell="A7" zoomScale="85" zoomScaleNormal="85" workbookViewId="0">
      <selection activeCell="J25" sqref="J25"/>
    </sheetView>
  </sheetViews>
  <sheetFormatPr defaultColWidth="9.1328125" defaultRowHeight="13.5" x14ac:dyDescent="0.35"/>
  <cols>
    <col min="1" max="1" width="2.3984375" style="1" customWidth="1"/>
    <col min="2" max="6" width="9.1328125" style="1"/>
    <col min="7" max="7" width="13.86328125" style="1" bestFit="1" customWidth="1"/>
    <col min="8" max="8" width="13.73046875" style="1" bestFit="1" customWidth="1"/>
    <col min="9" max="11" width="9.1328125" style="1"/>
    <col min="12" max="12" width="10.1328125" style="1" customWidth="1"/>
    <col min="13" max="13" width="9.73046875" style="1" customWidth="1"/>
    <col min="14" max="22" width="9.1328125" style="1"/>
    <col min="23" max="23" width="15.265625" style="1" bestFit="1" customWidth="1"/>
    <col min="24" max="24" width="22.73046875" style="1" bestFit="1" customWidth="1"/>
    <col min="25" max="27" width="9.1328125" style="1"/>
    <col min="28" max="28" width="12" style="1" bestFit="1" customWidth="1"/>
    <col min="29" max="29" width="11" style="1" bestFit="1" customWidth="1"/>
    <col min="30" max="30" width="2.1328125" style="1" customWidth="1"/>
    <col min="31" max="16384" width="9.1328125" style="1"/>
  </cols>
  <sheetData>
    <row r="3" spans="2:2" ht="13.9" x14ac:dyDescent="0.4">
      <c r="B3" s="28"/>
    </row>
    <row r="9" spans="2:2" x14ac:dyDescent="0.35">
      <c r="B9" s="6"/>
    </row>
    <row r="10" spans="2:2" x14ac:dyDescent="0.35">
      <c r="B10" s="6"/>
    </row>
    <row r="11" spans="2:2" x14ac:dyDescent="0.35">
      <c r="B11" s="6"/>
    </row>
    <row r="12" spans="2:2" x14ac:dyDescent="0.35">
      <c r="B12" s="6"/>
    </row>
    <row r="13" spans="2:2" x14ac:dyDescent="0.35">
      <c r="B13" s="6"/>
    </row>
    <row r="14" spans="2:2" x14ac:dyDescent="0.35">
      <c r="B14" s="6"/>
    </row>
    <row r="15" spans="2:2" x14ac:dyDescent="0.35">
      <c r="B15" s="6"/>
    </row>
    <row r="16" spans="2:2" x14ac:dyDescent="0.35">
      <c r="B16" s="6"/>
    </row>
    <row r="17" spans="2:29" x14ac:dyDescent="0.35">
      <c r="B17" s="6"/>
    </row>
    <row r="18" spans="2:29" x14ac:dyDescent="0.35">
      <c r="B18" s="6"/>
    </row>
    <row r="19" spans="2:29" x14ac:dyDescent="0.35">
      <c r="B19" s="6"/>
    </row>
    <row r="21" spans="2:29" ht="13.9" thickBot="1" x14ac:dyDescent="0.4"/>
    <row r="22" spans="2:29" x14ac:dyDescent="0.35">
      <c r="B22" s="12" t="s">
        <v>0</v>
      </c>
      <c r="C22" s="13"/>
      <c r="D22" s="13"/>
      <c r="E22" s="14"/>
      <c r="F22" s="13" t="s">
        <v>14</v>
      </c>
      <c r="G22" s="13"/>
      <c r="H22" s="14"/>
      <c r="I22" s="13" t="s">
        <v>15</v>
      </c>
      <c r="J22" s="13"/>
      <c r="K22" s="14"/>
      <c r="L22" s="13" t="s">
        <v>40</v>
      </c>
      <c r="M22" s="14"/>
      <c r="N22" s="13" t="s">
        <v>16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4"/>
      <c r="Z22" s="13" t="s">
        <v>17</v>
      </c>
      <c r="AA22" s="14"/>
      <c r="AB22" s="13" t="s">
        <v>18</v>
      </c>
      <c r="AC22" s="15"/>
    </row>
    <row r="23" spans="2:29" s="2" customFormat="1" ht="16.899999999999999" x14ac:dyDescent="0.55000000000000004">
      <c r="B23" s="16" t="s">
        <v>21</v>
      </c>
      <c r="C23" s="2" t="s">
        <v>22</v>
      </c>
      <c r="D23" s="2" t="s">
        <v>23</v>
      </c>
      <c r="E23" s="8" t="s">
        <v>24</v>
      </c>
      <c r="F23" s="2" t="s">
        <v>3</v>
      </c>
      <c r="G23" s="2" t="s">
        <v>12</v>
      </c>
      <c r="H23" s="8" t="s">
        <v>13</v>
      </c>
      <c r="I23" s="2" t="s">
        <v>6</v>
      </c>
      <c r="J23" s="2" t="s">
        <v>8</v>
      </c>
      <c r="K23" s="8" t="s">
        <v>9</v>
      </c>
      <c r="L23" s="2" t="s">
        <v>25</v>
      </c>
      <c r="M23" s="8" t="s">
        <v>26</v>
      </c>
      <c r="N23" s="2" t="s">
        <v>27</v>
      </c>
      <c r="O23" s="2" t="s">
        <v>28</v>
      </c>
      <c r="P23" s="2" t="s">
        <v>29</v>
      </c>
      <c r="Q23" s="2" t="s">
        <v>30</v>
      </c>
      <c r="R23" s="2" t="s">
        <v>31</v>
      </c>
      <c r="S23" s="2" t="s">
        <v>32</v>
      </c>
      <c r="T23" s="2" t="s">
        <v>33</v>
      </c>
      <c r="U23" s="2" t="s">
        <v>34</v>
      </c>
      <c r="V23" s="2" t="s">
        <v>35</v>
      </c>
      <c r="W23" s="2" t="s">
        <v>38</v>
      </c>
      <c r="X23" s="2" t="s">
        <v>39</v>
      </c>
      <c r="Y23" s="8" t="s">
        <v>36</v>
      </c>
      <c r="Z23" s="2" t="s">
        <v>37</v>
      </c>
      <c r="AA23" s="8" t="s">
        <v>11</v>
      </c>
      <c r="AB23" s="2" t="s">
        <v>19</v>
      </c>
      <c r="AC23" s="17" t="s">
        <v>20</v>
      </c>
    </row>
    <row r="24" spans="2:29" s="2" customFormat="1" ht="13.9" thickBot="1" x14ac:dyDescent="0.4">
      <c r="B24" s="18" t="s">
        <v>1</v>
      </c>
      <c r="C24" s="7" t="s">
        <v>1</v>
      </c>
      <c r="D24" s="7" t="s">
        <v>2</v>
      </c>
      <c r="E24" s="9" t="s">
        <v>2</v>
      </c>
      <c r="F24" s="7" t="s">
        <v>4</v>
      </c>
      <c r="G24" s="7" t="s">
        <v>5</v>
      </c>
      <c r="H24" s="9" t="s">
        <v>5</v>
      </c>
      <c r="I24" s="7" t="s">
        <v>7</v>
      </c>
      <c r="J24" s="7" t="s">
        <v>7</v>
      </c>
      <c r="K24" s="9" t="s">
        <v>7</v>
      </c>
      <c r="L24" s="7" t="s">
        <v>7</v>
      </c>
      <c r="M24" s="9" t="s">
        <v>7</v>
      </c>
      <c r="N24" s="7"/>
      <c r="O24" s="7"/>
      <c r="P24" s="7"/>
      <c r="Q24" s="7"/>
      <c r="R24" s="7"/>
      <c r="S24" s="7"/>
      <c r="T24" s="7"/>
      <c r="U24" s="7"/>
      <c r="V24" s="7" t="s">
        <v>10</v>
      </c>
      <c r="W24" s="7" t="s">
        <v>10</v>
      </c>
      <c r="X24" s="7" t="s">
        <v>10</v>
      </c>
      <c r="Y24" s="9" t="s">
        <v>10</v>
      </c>
      <c r="Z24" s="7" t="s">
        <v>10</v>
      </c>
      <c r="AA24" s="9"/>
      <c r="AB24" s="7"/>
      <c r="AC24" s="19" t="s">
        <v>7</v>
      </c>
    </row>
    <row r="25" spans="2:29" s="2" customFormat="1" ht="13.9" thickTop="1" x14ac:dyDescent="0.35">
      <c r="B25" s="29"/>
      <c r="C25" s="4"/>
      <c r="D25" s="3"/>
      <c r="E25" s="11"/>
      <c r="G25" s="4"/>
      <c r="H25" s="11"/>
      <c r="I25" s="3">
        <f>1*0.3048</f>
        <v>0.30480000000000002</v>
      </c>
      <c r="J25" s="3"/>
      <c r="K25" s="10"/>
      <c r="L25" s="3"/>
      <c r="M25" s="10"/>
      <c r="N25" s="5"/>
      <c r="O25" s="5"/>
      <c r="P25" s="3"/>
      <c r="Q25" s="3"/>
      <c r="R25" s="3"/>
      <c r="S25" s="3"/>
      <c r="T25" s="3"/>
      <c r="U25" s="3"/>
      <c r="V25" s="4"/>
      <c r="W25" s="4"/>
      <c r="X25" s="4"/>
      <c r="Y25" s="11"/>
      <c r="Z25" s="4"/>
      <c r="AA25" s="11"/>
      <c r="AB25" s="4"/>
      <c r="AC25" s="20"/>
    </row>
    <row r="26" spans="2:29" x14ac:dyDescent="0.35">
      <c r="B26" s="29"/>
      <c r="C26" s="4"/>
      <c r="D26" s="3"/>
      <c r="E26" s="11"/>
      <c r="F26" s="2"/>
      <c r="G26" s="4"/>
      <c r="H26" s="11"/>
      <c r="I26" s="3">
        <f>2*0.3048</f>
        <v>0.60960000000000003</v>
      </c>
      <c r="J26" s="3"/>
      <c r="K26" s="10"/>
      <c r="L26" s="3"/>
      <c r="M26" s="10"/>
      <c r="N26" s="5"/>
      <c r="O26" s="5"/>
      <c r="P26" s="3"/>
      <c r="Q26" s="3"/>
      <c r="R26" s="3"/>
      <c r="S26" s="3"/>
      <c r="T26" s="3"/>
      <c r="U26" s="3"/>
      <c r="V26" s="4"/>
      <c r="W26" s="4"/>
      <c r="X26" s="4"/>
      <c r="Y26" s="11"/>
      <c r="Z26" s="4"/>
      <c r="AA26" s="11"/>
      <c r="AB26" s="4"/>
      <c r="AC26" s="20"/>
    </row>
    <row r="27" spans="2:29" x14ac:dyDescent="0.35">
      <c r="B27" s="29"/>
      <c r="C27" s="4"/>
      <c r="D27" s="3"/>
      <c r="E27" s="11"/>
      <c r="F27" s="2"/>
      <c r="G27" s="4"/>
      <c r="H27" s="11"/>
      <c r="I27" s="3">
        <f>3*0.3048</f>
        <v>0.9144000000000001</v>
      </c>
      <c r="J27" s="3"/>
      <c r="K27" s="10"/>
      <c r="L27" s="3"/>
      <c r="M27" s="10"/>
      <c r="N27" s="5"/>
      <c r="O27" s="5"/>
      <c r="P27" s="3"/>
      <c r="Q27" s="3"/>
      <c r="R27" s="3"/>
      <c r="S27" s="3"/>
      <c r="T27" s="3"/>
      <c r="U27" s="3"/>
      <c r="V27" s="4"/>
      <c r="W27" s="4"/>
      <c r="X27" s="4"/>
      <c r="Y27" s="11"/>
      <c r="Z27" s="4"/>
      <c r="AA27" s="11"/>
      <c r="AB27" s="4"/>
      <c r="AC27" s="20"/>
    </row>
    <row r="28" spans="2:29" x14ac:dyDescent="0.35">
      <c r="B28" s="29"/>
      <c r="C28" s="4"/>
      <c r="D28" s="3"/>
      <c r="E28" s="11"/>
      <c r="F28" s="2"/>
      <c r="G28" s="4"/>
      <c r="H28" s="11"/>
      <c r="I28" s="3">
        <f>4*0.3048</f>
        <v>1.2192000000000001</v>
      </c>
      <c r="J28" s="3"/>
      <c r="K28" s="10"/>
      <c r="L28" s="3"/>
      <c r="M28" s="10"/>
      <c r="N28" s="5"/>
      <c r="O28" s="5"/>
      <c r="P28" s="3"/>
      <c r="Q28" s="3"/>
      <c r="R28" s="3"/>
      <c r="S28" s="3"/>
      <c r="T28" s="3"/>
      <c r="U28" s="3"/>
      <c r="V28" s="4"/>
      <c r="W28" s="4"/>
      <c r="X28" s="4"/>
      <c r="Y28" s="11"/>
      <c r="Z28" s="4"/>
      <c r="AA28" s="11"/>
      <c r="AB28" s="4"/>
      <c r="AC28" s="20"/>
    </row>
    <row r="29" spans="2:29" x14ac:dyDescent="0.35">
      <c r="B29" s="29"/>
      <c r="C29" s="4"/>
      <c r="D29" s="3"/>
      <c r="E29" s="11"/>
      <c r="F29" s="2"/>
      <c r="G29" s="4"/>
      <c r="H29" s="11"/>
      <c r="I29" s="3">
        <f>5*0.3048</f>
        <v>1.524</v>
      </c>
      <c r="J29" s="3"/>
      <c r="K29" s="10"/>
      <c r="L29" s="3"/>
      <c r="M29" s="10"/>
      <c r="N29" s="5"/>
      <c r="O29" s="5"/>
      <c r="P29" s="3"/>
      <c r="Q29" s="3"/>
      <c r="R29" s="3"/>
      <c r="S29" s="3"/>
      <c r="T29" s="3"/>
      <c r="U29" s="3"/>
      <c r="V29" s="4"/>
      <c r="W29" s="4"/>
      <c r="X29" s="4"/>
      <c r="Y29" s="11"/>
      <c r="Z29" s="4"/>
      <c r="AA29" s="11"/>
      <c r="AB29" s="4"/>
      <c r="AC29" s="20"/>
    </row>
    <row r="30" spans="2:29" ht="13.9" thickBot="1" x14ac:dyDescent="0.4">
      <c r="B30" s="30"/>
      <c r="C30" s="25"/>
      <c r="D30" s="22"/>
      <c r="E30" s="26"/>
      <c r="F30" s="21"/>
      <c r="G30" s="25"/>
      <c r="H30" s="26"/>
      <c r="I30" s="22">
        <f>6*0.3048</f>
        <v>1.8288000000000002</v>
      </c>
      <c r="J30" s="22"/>
      <c r="K30" s="23"/>
      <c r="L30" s="22"/>
      <c r="M30" s="23"/>
      <c r="N30" s="24"/>
      <c r="O30" s="24"/>
      <c r="P30" s="22"/>
      <c r="Q30" s="22"/>
      <c r="R30" s="22"/>
      <c r="S30" s="22"/>
      <c r="T30" s="22"/>
      <c r="U30" s="22"/>
      <c r="V30" s="25"/>
      <c r="W30" s="25"/>
      <c r="X30" s="25"/>
      <c r="Y30" s="26"/>
      <c r="Z30" s="25"/>
      <c r="AA30" s="26"/>
      <c r="AB30" s="25"/>
      <c r="AC30" s="27"/>
    </row>
    <row r="31" spans="2:29" x14ac:dyDescent="0.35">
      <c r="B31" s="2"/>
      <c r="C31" s="2"/>
      <c r="D31" s="2"/>
      <c r="E31" s="2"/>
      <c r="F31" s="2"/>
      <c r="G31" s="2"/>
      <c r="H31" s="2"/>
      <c r="I31" s="2"/>
      <c r="J31" s="3"/>
      <c r="K31" s="3"/>
      <c r="L31" s="3"/>
      <c r="M31" s="3"/>
      <c r="N31" s="5"/>
      <c r="O31" s="5"/>
      <c r="P31" s="2"/>
      <c r="Q31" s="2"/>
      <c r="R31" s="3"/>
      <c r="S31" s="3"/>
      <c r="T31" s="3"/>
      <c r="U31" s="3"/>
      <c r="V31" s="2"/>
      <c r="W31" s="4"/>
      <c r="X31" s="4"/>
      <c r="Y31" s="4"/>
      <c r="Z31" s="4"/>
      <c r="AA31" s="4"/>
      <c r="AB31" s="4"/>
      <c r="AC31" s="3"/>
    </row>
    <row r="32" spans="2:29" x14ac:dyDescent="0.35">
      <c r="B32" s="2"/>
      <c r="C32" s="2"/>
      <c r="D32" s="2"/>
      <c r="E32" s="2"/>
      <c r="F32" s="2"/>
      <c r="G32" s="2"/>
      <c r="H32" s="2"/>
      <c r="I32" s="2"/>
      <c r="J32" s="3"/>
      <c r="K32" s="3"/>
      <c r="L32" s="3"/>
      <c r="M32" s="3"/>
      <c r="N32" s="5"/>
      <c r="O32" s="5"/>
      <c r="P32" s="2"/>
      <c r="Q32" s="2"/>
      <c r="R32" s="3"/>
      <c r="S32" s="3"/>
      <c r="T32" s="3"/>
      <c r="U32" s="3"/>
      <c r="V32" s="2"/>
      <c r="W32" s="4"/>
      <c r="X32" s="4"/>
      <c r="Y32" s="4"/>
      <c r="Z32" s="4"/>
      <c r="AA32" s="4"/>
      <c r="AB32" s="4"/>
      <c r="AC32" s="3"/>
    </row>
    <row r="33" spans="2:29" x14ac:dyDescent="0.35">
      <c r="B33" s="2"/>
      <c r="C33" s="2"/>
      <c r="D33" s="2"/>
      <c r="E33" s="2"/>
      <c r="F33" s="2"/>
      <c r="G33" s="2"/>
      <c r="H33" s="2"/>
      <c r="I33" s="2"/>
      <c r="J33" s="3"/>
      <c r="K33" s="3"/>
      <c r="L33" s="3"/>
      <c r="M33" s="3"/>
      <c r="N33" s="5"/>
      <c r="O33" s="5"/>
      <c r="P33" s="2"/>
      <c r="Q33" s="2"/>
      <c r="R33" s="3"/>
      <c r="S33" s="3"/>
      <c r="T33" s="3"/>
      <c r="U33" s="3"/>
      <c r="V33" s="2"/>
      <c r="W33" s="4"/>
      <c r="X33" s="4"/>
      <c r="Y33" s="4"/>
      <c r="Z33" s="4"/>
      <c r="AA33" s="4"/>
      <c r="AB33" s="4"/>
      <c r="AC33" s="3"/>
    </row>
    <row r="34" spans="2:29" x14ac:dyDescent="0.35">
      <c r="B34" s="2"/>
      <c r="C34" s="2"/>
      <c r="D34" s="2"/>
      <c r="E34" s="2"/>
      <c r="F34" s="2"/>
      <c r="G34" s="2"/>
      <c r="H34" s="2"/>
      <c r="I34" s="2"/>
      <c r="J34" s="3"/>
      <c r="K34" s="3"/>
      <c r="L34" s="3"/>
      <c r="M34" s="3"/>
      <c r="N34" s="5"/>
      <c r="O34" s="5"/>
      <c r="P34" s="2"/>
      <c r="Q34" s="2"/>
      <c r="R34" s="3"/>
      <c r="S34" s="3"/>
      <c r="T34" s="3"/>
      <c r="U34" s="3"/>
      <c r="V34" s="2"/>
      <c r="W34" s="4"/>
      <c r="X34" s="4"/>
      <c r="Y34" s="4"/>
      <c r="Z34" s="4"/>
      <c r="AA34" s="4"/>
      <c r="AB34" s="4"/>
      <c r="AC34" s="3"/>
    </row>
    <row r="35" spans="2:29" x14ac:dyDescent="0.35">
      <c r="B35" s="2"/>
      <c r="C35" s="2"/>
      <c r="D35" s="2"/>
      <c r="E35" s="2"/>
      <c r="F35" s="2"/>
      <c r="G35" s="2"/>
      <c r="H35" s="2"/>
      <c r="I35" s="2"/>
      <c r="J35" s="3"/>
      <c r="K35" s="3"/>
      <c r="L35" s="3"/>
      <c r="M35" s="3"/>
      <c r="N35" s="5"/>
      <c r="O35" s="5"/>
      <c r="P35" s="2"/>
      <c r="Q35" s="2"/>
      <c r="R35" s="3"/>
      <c r="S35" s="3"/>
      <c r="T35" s="3"/>
      <c r="U35" s="3"/>
      <c r="V35" s="2"/>
      <c r="W35" s="4"/>
      <c r="X35" s="4"/>
      <c r="Y35" s="4"/>
      <c r="Z35" s="4"/>
      <c r="AA35" s="4"/>
      <c r="AB35" s="4"/>
      <c r="AC35" s="3"/>
    </row>
    <row r="36" spans="2:29" x14ac:dyDescent="0.35">
      <c r="B36" s="2"/>
      <c r="C36" s="2"/>
      <c r="D36" s="2"/>
      <c r="E36" s="2"/>
      <c r="F36" s="2"/>
      <c r="G36" s="2"/>
      <c r="H36" s="2"/>
      <c r="I36" s="2"/>
      <c r="J36" s="3"/>
      <c r="K36" s="3"/>
      <c r="L36" s="3"/>
      <c r="M36" s="3"/>
      <c r="N36" s="5"/>
      <c r="O36" s="5"/>
      <c r="P36" s="2"/>
      <c r="Q36" s="2"/>
      <c r="R36" s="3"/>
      <c r="S36" s="3"/>
      <c r="T36" s="3"/>
      <c r="U36" s="3"/>
      <c r="V36" s="2"/>
      <c r="W36" s="4"/>
      <c r="X36" s="4"/>
      <c r="Y36" s="4"/>
      <c r="Z36" s="4"/>
      <c r="AA36" s="4"/>
      <c r="AB36" s="4"/>
      <c r="AC36" s="3"/>
    </row>
    <row r="37" spans="2:29" x14ac:dyDescent="0.35">
      <c r="B37" s="2"/>
      <c r="C37" s="2"/>
      <c r="D37" s="2"/>
      <c r="E37" s="2"/>
      <c r="F37" s="2"/>
      <c r="G37" s="2"/>
      <c r="H37" s="2"/>
      <c r="I37" s="2"/>
      <c r="J37" s="3"/>
      <c r="K37" s="3"/>
      <c r="L37" s="3"/>
      <c r="M37" s="3"/>
      <c r="N37" s="5"/>
      <c r="O37" s="5"/>
      <c r="P37" s="2"/>
      <c r="Q37" s="2"/>
      <c r="R37" s="3"/>
      <c r="S37" s="3"/>
      <c r="T37" s="3"/>
      <c r="U37" s="3"/>
      <c r="V37" s="2"/>
      <c r="W37" s="4"/>
      <c r="X37" s="4"/>
      <c r="Y37" s="4"/>
      <c r="Z37" s="4"/>
      <c r="AA37" s="4"/>
      <c r="AB37" s="4"/>
      <c r="AC37" s="3"/>
    </row>
    <row r="38" spans="2:29" x14ac:dyDescent="0.35">
      <c r="B38" s="2"/>
      <c r="C38" s="2"/>
      <c r="D38" s="2"/>
      <c r="E38" s="2"/>
      <c r="F38" s="2"/>
      <c r="G38" s="2"/>
      <c r="H38" s="2"/>
      <c r="I38" s="2"/>
      <c r="J38" s="3"/>
      <c r="K38" s="3"/>
      <c r="L38" s="3"/>
      <c r="M38" s="3"/>
      <c r="N38" s="5"/>
      <c r="O38" s="5"/>
      <c r="P38" s="2"/>
      <c r="Q38" s="2"/>
      <c r="R38" s="3"/>
      <c r="S38" s="3"/>
      <c r="T38" s="3"/>
      <c r="U38" s="3"/>
      <c r="V38" s="2"/>
      <c r="W38" s="4"/>
      <c r="X38" s="4"/>
      <c r="Y38" s="4"/>
      <c r="Z38" s="4"/>
      <c r="AA38" s="4"/>
      <c r="AB38" s="4"/>
      <c r="AC38" s="3"/>
    </row>
    <row r="39" spans="2:29" x14ac:dyDescent="0.35">
      <c r="B39" s="2"/>
      <c r="C39" s="2"/>
      <c r="D39" s="2"/>
      <c r="E39" s="2"/>
      <c r="F39" s="2"/>
      <c r="G39" s="2"/>
      <c r="H39" s="2"/>
      <c r="I39" s="2"/>
      <c r="J39" s="3"/>
      <c r="K39" s="3"/>
      <c r="L39" s="3"/>
      <c r="M39" s="3"/>
      <c r="N39" s="5"/>
      <c r="O39" s="5"/>
      <c r="P39" s="2"/>
      <c r="Q39" s="2"/>
      <c r="R39" s="3"/>
      <c r="S39" s="3"/>
      <c r="T39" s="3"/>
      <c r="U39" s="3"/>
      <c r="V39" s="2"/>
      <c r="W39" s="4"/>
      <c r="X39" s="4"/>
      <c r="Y39" s="4"/>
      <c r="Z39" s="4"/>
      <c r="AA39" s="4"/>
      <c r="AB39" s="4"/>
      <c r="AC39" s="3"/>
    </row>
    <row r="40" spans="2:29" x14ac:dyDescent="0.35">
      <c r="B40" s="2"/>
      <c r="C40" s="2"/>
      <c r="D40" s="2"/>
      <c r="E40" s="2"/>
      <c r="F40" s="2"/>
      <c r="G40" s="2"/>
      <c r="H40" s="2"/>
      <c r="I40" s="2"/>
      <c r="J40" s="3"/>
      <c r="K40" s="3"/>
      <c r="L40" s="3"/>
      <c r="M40" s="3"/>
      <c r="N40" s="5"/>
      <c r="O40" s="5"/>
      <c r="P40" s="2"/>
      <c r="Q40" s="2"/>
      <c r="R40" s="3"/>
      <c r="S40" s="3"/>
      <c r="T40" s="3"/>
      <c r="U40" s="3"/>
      <c r="V40" s="2"/>
      <c r="W40" s="4"/>
      <c r="X40" s="4"/>
      <c r="Y40" s="4"/>
      <c r="Z40" s="4"/>
      <c r="AA40" s="4"/>
      <c r="AB40" s="4"/>
      <c r="AC40" s="3"/>
    </row>
    <row r="41" spans="2:29" x14ac:dyDescent="0.35">
      <c r="B41" s="2"/>
      <c r="C41" s="2"/>
      <c r="D41" s="2"/>
      <c r="E41" s="2"/>
      <c r="F41" s="2"/>
      <c r="G41" s="2"/>
      <c r="H41" s="2"/>
      <c r="I41" s="2"/>
      <c r="J41" s="3"/>
      <c r="K41" s="3"/>
      <c r="L41" s="3"/>
      <c r="M41" s="3"/>
      <c r="N41" s="5"/>
      <c r="O41" s="5"/>
      <c r="P41" s="2"/>
      <c r="Q41" s="2"/>
      <c r="R41" s="3"/>
      <c r="S41" s="3"/>
      <c r="T41" s="3"/>
      <c r="U41" s="3"/>
      <c r="V41" s="2"/>
      <c r="W41" s="4"/>
      <c r="X41" s="4"/>
      <c r="Y41" s="4"/>
      <c r="Z41" s="4"/>
      <c r="AA41" s="4"/>
      <c r="AB41" s="4"/>
      <c r="AC41" s="3"/>
    </row>
    <row r="42" spans="2:29" x14ac:dyDescent="0.35">
      <c r="B42" s="2"/>
      <c r="C42" s="2"/>
      <c r="D42" s="2"/>
      <c r="E42" s="2"/>
      <c r="F42" s="2"/>
      <c r="G42" s="2"/>
      <c r="H42" s="2"/>
      <c r="I42" s="2"/>
      <c r="J42" s="3"/>
      <c r="K42" s="3"/>
      <c r="L42" s="3"/>
      <c r="M42" s="3"/>
      <c r="N42" s="5"/>
      <c r="O42" s="5"/>
      <c r="P42" s="2"/>
      <c r="Q42" s="2"/>
      <c r="R42" s="3"/>
      <c r="S42" s="3"/>
      <c r="T42" s="3"/>
      <c r="U42" s="3"/>
      <c r="V42" s="2"/>
      <c r="W42" s="4"/>
      <c r="X42" s="4"/>
      <c r="Y42" s="4"/>
      <c r="Z42" s="4"/>
      <c r="AA42" s="4"/>
      <c r="AB42" s="4"/>
      <c r="AC42" s="3"/>
    </row>
    <row r="43" spans="2:29" x14ac:dyDescent="0.35">
      <c r="B43" s="2"/>
      <c r="C43" s="2"/>
      <c r="D43" s="2"/>
      <c r="E43" s="2"/>
      <c r="F43" s="2"/>
      <c r="G43" s="2"/>
      <c r="H43" s="2"/>
      <c r="I43" s="2"/>
      <c r="J43" s="3"/>
      <c r="K43" s="3"/>
      <c r="L43" s="3"/>
      <c r="M43" s="3"/>
      <c r="N43" s="5"/>
      <c r="O43" s="5"/>
      <c r="P43" s="2"/>
      <c r="Q43" s="2"/>
      <c r="R43" s="3"/>
      <c r="S43" s="3"/>
      <c r="T43" s="3"/>
      <c r="U43" s="3"/>
      <c r="V43" s="2"/>
      <c r="W43" s="4"/>
      <c r="X43" s="4"/>
      <c r="Y43" s="4"/>
      <c r="Z43" s="4"/>
      <c r="AA43" s="4"/>
      <c r="AB43" s="4"/>
      <c r="AC43" s="3"/>
    </row>
    <row r="44" spans="2:29" x14ac:dyDescent="0.35">
      <c r="B44" s="2"/>
      <c r="C44" s="2"/>
      <c r="D44" s="2"/>
      <c r="E44" s="2"/>
      <c r="F44" s="2"/>
      <c r="G44" s="2"/>
      <c r="H44" s="2"/>
      <c r="I44" s="2"/>
      <c r="J44" s="3"/>
      <c r="K44" s="3"/>
      <c r="L44" s="3"/>
      <c r="M44" s="3"/>
      <c r="N44" s="5"/>
      <c r="O44" s="5"/>
      <c r="P44" s="2"/>
      <c r="Q44" s="2"/>
      <c r="R44" s="3"/>
      <c r="S44" s="3"/>
      <c r="T44" s="3"/>
      <c r="U44" s="3"/>
      <c r="V44" s="2"/>
      <c r="W44" s="4"/>
      <c r="X44" s="4"/>
      <c r="Y44" s="4"/>
      <c r="Z44" s="4"/>
      <c r="AA44" s="4"/>
      <c r="AB44" s="4"/>
      <c r="AC44" s="3"/>
    </row>
    <row r="45" spans="2:29" x14ac:dyDescent="0.35">
      <c r="B45" s="2"/>
      <c r="C45" s="2"/>
      <c r="D45" s="2"/>
      <c r="E45" s="2"/>
      <c r="F45" s="2"/>
      <c r="G45" s="2"/>
      <c r="H45" s="2"/>
      <c r="I45" s="2"/>
      <c r="J45" s="3"/>
      <c r="K45" s="3"/>
      <c r="L45" s="3"/>
      <c r="M45" s="3"/>
      <c r="N45" s="5"/>
      <c r="O45" s="5"/>
      <c r="P45" s="2"/>
      <c r="Q45" s="2"/>
      <c r="R45" s="3"/>
      <c r="S45" s="3"/>
      <c r="T45" s="3"/>
      <c r="U45" s="3"/>
      <c r="V45" s="2"/>
      <c r="W45" s="4"/>
      <c r="X45" s="4"/>
      <c r="Y45" s="4"/>
      <c r="Z45" s="4"/>
      <c r="AA45" s="4"/>
      <c r="AB45" s="4"/>
      <c r="AC45" s="3"/>
    </row>
    <row r="46" spans="2:29" x14ac:dyDescent="0.35">
      <c r="B46" s="2"/>
      <c r="C46" s="2"/>
      <c r="D46" s="2"/>
      <c r="E46" s="2"/>
      <c r="F46" s="2"/>
      <c r="G46" s="2"/>
      <c r="H46" s="2"/>
      <c r="I46" s="2"/>
      <c r="J46" s="3"/>
      <c r="K46" s="3"/>
      <c r="L46" s="3"/>
      <c r="M46" s="3"/>
      <c r="N46" s="5"/>
      <c r="O46" s="5"/>
      <c r="P46" s="2"/>
      <c r="Q46" s="2"/>
      <c r="R46" s="3"/>
      <c r="S46" s="3"/>
      <c r="T46" s="3"/>
      <c r="U46" s="3"/>
      <c r="V46" s="2"/>
      <c r="W46" s="4"/>
      <c r="X46" s="4"/>
      <c r="Y46" s="4"/>
      <c r="Z46" s="4"/>
      <c r="AA46" s="4"/>
      <c r="AB46" s="4"/>
      <c r="AC46" s="3"/>
    </row>
    <row r="47" spans="2:29" x14ac:dyDescent="0.35">
      <c r="B47" s="2"/>
      <c r="C47" s="2"/>
      <c r="D47" s="2"/>
      <c r="E47" s="2"/>
      <c r="F47" s="2"/>
      <c r="G47" s="2"/>
      <c r="H47" s="2"/>
      <c r="I47" s="2"/>
      <c r="J47" s="3"/>
      <c r="K47" s="3"/>
      <c r="L47" s="3"/>
      <c r="M47" s="3"/>
      <c r="N47" s="5"/>
      <c r="O47" s="5"/>
      <c r="P47" s="2"/>
      <c r="Q47" s="2"/>
      <c r="R47" s="3"/>
      <c r="S47" s="3"/>
      <c r="T47" s="3"/>
      <c r="U47" s="3"/>
      <c r="V47" s="2"/>
      <c r="W47" s="4"/>
      <c r="X47" s="4"/>
      <c r="Y47" s="4"/>
      <c r="Z47" s="4"/>
      <c r="AA47" s="4"/>
      <c r="AB47" s="4"/>
      <c r="AC47" s="3"/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Pr2</vt:lpstr>
      <vt:lpstr>Pr3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2026-03-04T06:25:23Z</dcterms:modified>
</cp:coreProperties>
</file>